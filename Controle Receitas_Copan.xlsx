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an_Reservas" sheetId="1" state="visible" r:id="rId3"/>
    <sheet name="Planilha1" sheetId="2" state="hidden" r:id="rId4"/>
    <sheet name="Airbnb_csv" sheetId="3" state="visible" r:id="rId5"/>
    <sheet name="Book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<sst xmlns="http://schemas.openxmlformats.org/spreadsheetml/2006/main" count="1970" uniqueCount="907">
  <si>
    <t xml:space="preserve">Quantidade dias no mês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</si>
  <si>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</si>
  <si>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</si>
  <si>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</si>
  <si>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</si>
  <si>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</si>
  <si>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</si>
  <si>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</si>
  <si>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</si>
  <si>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</si>
  <si>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</si>
  <si>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ano mar-dez</t>
  </si>
  <si>
    <t xml:space="preserve">jan</t>
  </si>
  <si>
    <t xml:space="preserve">fev</t>
  </si>
  <si>
    <t xml:space="preserve">junho</t>
  </si>
  <si>
    <t xml:space="preserve">agosto</t>
  </si>
  <si>
    <t xml:space="preserve">Ocupação</t>
  </si>
  <si>
    <t xml:space="preserve">Diárias</t>
  </si>
  <si>
    <t xml:space="preserve">Quantidade Check-ins</t>
  </si>
  <si>
    <t xml:space="preserve">Média diária hóspede</t>
  </si>
  <si>
    <t xml:space="preserve">Média diária líquido</t>
  </si>
  <si>
    <t xml:space="preserve">Devolução a cliente</t>
  </si>
  <si>
    <t xml:space="preserve">Receita Booking</t>
  </si>
  <si>
    <t xml:space="preserve">Receita Airbnb</t>
  </si>
  <si>
    <t xml:space="preserve">Ajuste erro report</t>
  </si>
  <si>
    <t xml:space="preserve">Receita offsite</t>
  </si>
  <si>
    <t xml:space="preserve">Lavanderia/Diarista</t>
  </si>
  <si>
    <t xml:space="preserve">Diárias Pet</t>
  </si>
  <si>
    <t xml:space="preserve">Comissão Booking</t>
  </si>
  <si>
    <t xml:space="preserve">Administração</t>
  </si>
  <si>
    <t xml:space="preserve">Recepção</t>
  </si>
  <si>
    <t xml:space="preserve">Manutenção</t>
  </si>
  <si>
    <t xml:space="preserve">Receita líquida locação</t>
  </si>
  <si>
    <t xml:space="preserve">Offsite</t>
  </si>
  <si>
    <t xml:space="preserve">Checkout</t>
  </si>
  <si>
    <t xml:space="preserve">Receita Bruta</t>
  </si>
  <si>
    <t xml:space="preserve">Lavanderia</t>
  </si>
  <si>
    <t xml:space="preserve">Controle COPAN</t>
  </si>
  <si>
    <t xml:space="preserve">Controle Aportes</t>
  </si>
  <si>
    <t xml:space="preserve">Tipo </t>
  </si>
  <si>
    <t xml:space="preserve">Valor</t>
  </si>
  <si>
    <t xml:space="preserve">Valor por Cota</t>
  </si>
  <si>
    <t xml:space="preserve">Data</t>
  </si>
  <si>
    <t xml:space="preserve">24.05.24</t>
  </si>
  <si>
    <t xml:space="preserve">Despesas Aquisição</t>
  </si>
  <si>
    <t xml:space="preserve">Sinal CCV</t>
  </si>
  <si>
    <t xml:space="preserve">11.07.24</t>
  </si>
  <si>
    <t xml:space="preserve">Taxa Avaliação Caixa</t>
  </si>
  <si>
    <t xml:space="preserve">04.06.24</t>
  </si>
  <si>
    <t xml:space="preserve">13.08.24</t>
  </si>
  <si>
    <t xml:space="preserve">Matrícula Atualizada</t>
  </si>
  <si>
    <t xml:space="preserve">08.07.24</t>
  </si>
  <si>
    <t xml:space="preserve">Taxa Seguridade Caixa</t>
  </si>
  <si>
    <t xml:space="preserve">Total</t>
  </si>
  <si>
    <t xml:space="preserve">ITBI</t>
  </si>
  <si>
    <t xml:space="preserve">12.07.24</t>
  </si>
  <si>
    <t xml:space="preserve">Total Despesas</t>
  </si>
  <si>
    <t xml:space="preserve">Registro</t>
  </si>
  <si>
    <t xml:space="preserve">07.08.24</t>
  </si>
  <si>
    <t xml:space="preserve">Saldo</t>
  </si>
  <si>
    <t xml:space="preserve">Taxa Procuração</t>
  </si>
  <si>
    <t xml:space="preserve">Comissão Corretor</t>
  </si>
  <si>
    <t xml:space="preserve">14.08.24</t>
  </si>
  <si>
    <t xml:space="preserve">Despesas Approved - Despachante - Registro</t>
  </si>
  <si>
    <t xml:space="preserve">Despesas Ordinárias Mensal</t>
  </si>
  <si>
    <t xml:space="preserve">Parcela 01/420 Financiamento</t>
  </si>
  <si>
    <t xml:space="preserve">15.08.24</t>
  </si>
  <si>
    <t xml:space="preserve">Início da obra</t>
  </si>
  <si>
    <t xml:space="preserve">28.09.24</t>
  </si>
  <si>
    <t xml:space="preserve">Custo Mensal</t>
  </si>
  <si>
    <t xml:space="preserve">Previsão de término:</t>
  </si>
  <si>
    <t xml:space="preserve">01.12.24</t>
  </si>
  <si>
    <t xml:space="preserve">Condomínio Setembro</t>
  </si>
  <si>
    <t xml:space="preserve">06.09.24</t>
  </si>
  <si>
    <t xml:space="preserve">Luz</t>
  </si>
  <si>
    <t xml:space="preserve">01.09.24</t>
  </si>
  <si>
    <t xml:space="preserve">Despesas - Orçamento de Obra</t>
  </si>
  <si>
    <t xml:space="preserve">Empreiteiro</t>
  </si>
  <si>
    <t xml:space="preserve">Sinal</t>
  </si>
  <si>
    <t xml:space="preserve">28.08.2024</t>
  </si>
  <si>
    <t xml:space="preserve">Primeira Parcela</t>
  </si>
  <si>
    <t xml:space="preserve">15.09.2024</t>
  </si>
  <si>
    <t xml:space="preserve">Segunda Parcela </t>
  </si>
  <si>
    <t xml:space="preserve">30.09.2024</t>
  </si>
  <si>
    <t xml:space="preserve">Terceira Parcela</t>
  </si>
  <si>
    <t xml:space="preserve">15.10.2024</t>
  </si>
  <si>
    <t xml:space="preserve">Entrega Final </t>
  </si>
  <si>
    <t xml:space="preserve">Demolição</t>
  </si>
  <si>
    <t xml:space="preserve">200 sacos de entulho</t>
  </si>
  <si>
    <t xml:space="preserve">30.08.24</t>
  </si>
  <si>
    <t xml:space="preserve">Caminhão Entulho - Viagem </t>
  </si>
  <si>
    <t xml:space="preserve">Projetado Setembro</t>
  </si>
  <si>
    <t xml:space="preserve">Materiais Elétrica</t>
  </si>
  <si>
    <t xml:space="preserve">Material Inicial Grosso</t>
  </si>
  <si>
    <t xml:space="preserve">Materias Hidráulica</t>
  </si>
  <si>
    <t xml:space="preserve">Revestimentos </t>
  </si>
  <si>
    <t xml:space="preserve">Marcenaria</t>
  </si>
  <si>
    <t xml:space="preserve">Serralheria e Box</t>
  </si>
  <si>
    <t xml:space="preserve">Sinal </t>
  </si>
  <si>
    <t xml:space="preserve">Ar-Condicionado</t>
  </si>
  <si>
    <t xml:space="preserve">Projeto Arquitetura</t>
  </si>
  <si>
    <t xml:space="preserve">02.09.2024</t>
  </si>
  <si>
    <t xml:space="preserve">30.10.2024</t>
  </si>
  <si>
    <t xml:space="preserve">30.11.2024</t>
  </si>
  <si>
    <t xml:space="preserve">Cortinas</t>
  </si>
  <si>
    <t xml:space="preserve">Decoração (TV, cama, colchão, enxoval, eletrodomésticos, móveis)</t>
  </si>
  <si>
    <t xml:space="preserve">Despesas Gerais (Gesso, Cimento, Diversos)</t>
  </si>
  <si>
    <t xml:space="preserve">RRT</t>
  </si>
  <si>
    <t xml:space="preserve">Impressão Projetos</t>
  </si>
  <si>
    <t xml:space="preserve">Total:</t>
  </si>
  <si>
    <t xml:space="preserve">���Tipo</t>
  </si>
  <si>
    <t xml:space="preserve">C��digo de Confirma����o</t>
  </si>
  <si>
    <t xml:space="preserve">Data da reserva</t>
  </si>
  <si>
    <t xml:space="preserve">Data de in��cio</t>
  </si>
  <si>
    <t xml:space="preserve">Data de t��rmino</t>
  </si>
  <si>
    <t xml:space="preserve">Noites</t>
  </si>
  <si>
    <t xml:space="preserve">H��spede</t>
  </si>
  <si>
    <t xml:space="preserve">An��ncio</t>
  </si>
  <si>
    <t xml:space="preserve">Detalhes</t>
  </si>
  <si>
    <t xml:space="preserve">C��digo de refer��ncia</t>
  </si>
  <si>
    <t xml:space="preserve">Moeda</t>
  </si>
  <si>
    <t xml:space="preserve">Pago</t>
  </si>
  <si>
    <t xml:space="preserve">Taxa de servi��o</t>
  </si>
  <si>
    <t xml:space="preserve">Taxa de pagamento r��pido</t>
  </si>
  <si>
    <t xml:space="preserve">Taxa de limpeza</t>
  </si>
  <si>
    <t xml:space="preserve">Taxa de animais de estima����o</t>
  </si>
  <si>
    <t xml:space="preserve">Ganhos brutos</t>
  </si>
  <si>
    <t xml:space="preserve">Impostos de ocupa����o</t>
  </si>
  <si>
    <t xml:space="preserve">Ganhos do ano</t>
  </si>
  <si>
    <t xml:space="preserve">Reserva</t>
  </si>
  <si>
    <t xml:space="preserve">HMJ94ZXCXQ</t>
  </si>
  <si>
    <t xml:space="preserve">02/26/2025</t>
  </si>
  <si>
    <t xml:space="preserve">03/07/2025</t>
  </si>
  <si>
    <t xml:space="preserve">03/09/2025</t>
  </si>
  <si>
    <t xml:space="preserve">Pedro Garnica</t>
  </si>
  <si>
    <t xml:space="preserve">Vem pro Copan, vista e design</t>
  </si>
  <si>
    <t xml:space="preserve">BRL</t>
  </si>
  <si>
    <t xml:space="preserve">22.12</t>
  </si>
  <si>
    <t xml:space="preserve">150.00</t>
  </si>
  <si>
    <t xml:space="preserve">0.00</t>
  </si>
  <si>
    <t xml:space="preserve">715.36</t>
  </si>
  <si>
    <t xml:space="preserve">HMK5JMXNKK</t>
  </si>
  <si>
    <t xml:space="preserve">03/08/2025</t>
  </si>
  <si>
    <t xml:space="preserve">03/15/2025</t>
  </si>
  <si>
    <t xml:space="preserve">03/17/2025</t>
  </si>
  <si>
    <t xml:space="preserve">Andr�� Luiz Theiss</t>
  </si>
  <si>
    <t xml:space="preserve">18.60</t>
  </si>
  <si>
    <t xml:space="preserve">601.46</t>
  </si>
  <si>
    <t xml:space="preserve">HMZ3WB9JY4</t>
  </si>
  <si>
    <t xml:space="preserve">03/20/2025</t>
  </si>
  <si>
    <t xml:space="preserve">03/21/2025</t>
  </si>
  <si>
    <t xml:space="preserve">03/23/2025</t>
  </si>
  <si>
    <t xml:space="preserve">Felipe Borgognoni</t>
  </si>
  <si>
    <t xml:space="preserve">16.13</t>
  </si>
  <si>
    <t xml:space="preserve">521.53</t>
  </si>
  <si>
    <t xml:space="preserve">HM8YT9ENJK</t>
  </si>
  <si>
    <t xml:space="preserve">03/18/2025</t>
  </si>
  <si>
    <t xml:space="preserve">03/27/2025</t>
  </si>
  <si>
    <t xml:space="preserve">03/28/2025</t>
  </si>
  <si>
    <t xml:space="preserve">Marcial Suarez</t>
  </si>
  <si>
    <t xml:space="preserve">10.20</t>
  </si>
  <si>
    <t xml:space="preserve">329.70</t>
  </si>
  <si>
    <t xml:space="preserve">HMA8X584XP</t>
  </si>
  <si>
    <t xml:space="preserve">02/22/2025</t>
  </si>
  <si>
    <t xml:space="preserve">03/31/2025</t>
  </si>
  <si>
    <t xml:space="preserve">Matheus Arantes Cabral</t>
  </si>
  <si>
    <t xml:space="preserve">22.43</t>
  </si>
  <si>
    <t xml:space="preserve">725.35</t>
  </si>
  <si>
    <t xml:space="preserve">HMRH2RWZHW</t>
  </si>
  <si>
    <t xml:space="preserve">04/11/2025</t>
  </si>
  <si>
    <t xml:space="preserve">04/13/2025</t>
  </si>
  <si>
    <t xml:space="preserve">04/15/2025</t>
  </si>
  <si>
    <t xml:space="preserve">Telma Blanco</t>
  </si>
  <si>
    <t xml:space="preserve">15.37</t>
  </si>
  <si>
    <t xml:space="preserve">448.13</t>
  </si>
  <si>
    <t xml:space="preserve">HMFJ83Y8AE</t>
  </si>
  <si>
    <t xml:space="preserve">04/09/2025</t>
  </si>
  <si>
    <t xml:space="preserve">04/18/2025</t>
  </si>
  <si>
    <t xml:space="preserve">04/21/2025</t>
  </si>
  <si>
    <t xml:space="preserve">Fabio Rabelo</t>
  </si>
  <si>
    <t xml:space="preserve">25.64</t>
  </si>
  <si>
    <t xml:space="preserve">829.26</t>
  </si>
  <si>
    <t xml:space="preserve">HM8QH4RCKY</t>
  </si>
  <si>
    <t xml:space="preserve">04/10/2025</t>
  </si>
  <si>
    <t xml:space="preserve">04/30/2025</t>
  </si>
  <si>
    <t xml:space="preserve">05/02/2025</t>
  </si>
  <si>
    <t xml:space="preserve">Wanessa Souza Henrique</t>
  </si>
  <si>
    <t xml:space="preserve">17.42</t>
  </si>
  <si>
    <t xml:space="preserve">507.88</t>
  </si>
  <si>
    <t xml:space="preserve">HMHAADATKJ</t>
  </si>
  <si>
    <t xml:space="preserve">04/25/2025</t>
  </si>
  <si>
    <t xml:space="preserve">05/04/2025</t>
  </si>
  <si>
    <t xml:space="preserve">Tatiane Ferreira Dos Santos</t>
  </si>
  <si>
    <t xml:space="preserve">20.69</t>
  </si>
  <si>
    <t xml:space="preserve">603.49</t>
  </si>
  <si>
    <t xml:space="preserve">HM5ADC8D32</t>
  </si>
  <si>
    <t xml:space="preserve">04/12/2025</t>
  </si>
  <si>
    <t xml:space="preserve">05/08/2025</t>
  </si>
  <si>
    <t xml:space="preserve">05/10/2025</t>
  </si>
  <si>
    <t xml:space="preserve">Cristina Concone</t>
  </si>
  <si>
    <t xml:space="preserve">18.71</t>
  </si>
  <si>
    <t xml:space="preserve">545.73</t>
  </si>
  <si>
    <t xml:space="preserve">HM4NKXNXRS</t>
  </si>
  <si>
    <t xml:space="preserve">04/22/2025</t>
  </si>
  <si>
    <t xml:space="preserve">05/15/2025</t>
  </si>
  <si>
    <t xml:space="preserve">Raquel Omena</t>
  </si>
  <si>
    <t xml:space="preserve">39.55</t>
  </si>
  <si>
    <t xml:space="preserve">70.00</t>
  </si>
  <si>
    <t xml:space="preserve">1153.19</t>
  </si>
  <si>
    <t xml:space="preserve">HMR8JXAKEC</t>
  </si>
  <si>
    <t xml:space="preserve">05/06/2025</t>
  </si>
  <si>
    <t xml:space="preserve">05/16/2025</t>
  </si>
  <si>
    <t xml:space="preserve">Luiz Costa</t>
  </si>
  <si>
    <t xml:space="preserve">11.28</t>
  </si>
  <si>
    <t xml:space="preserve">328.62</t>
  </si>
  <si>
    <t xml:space="preserve">HMK3MMQ3QM</t>
  </si>
  <si>
    <t xml:space="preserve">04/20/2025</t>
  </si>
  <si>
    <t xml:space="preserve">05/18/2025</t>
  </si>
  <si>
    <t xml:space="preserve">Thais Souza</t>
  </si>
  <si>
    <t xml:space="preserve">20.01</t>
  </si>
  <si>
    <t xml:space="preserve">583.57</t>
  </si>
  <si>
    <t xml:space="preserve">HM4YX5BY4Y</t>
  </si>
  <si>
    <t xml:space="preserve">05/20/2025</t>
  </si>
  <si>
    <t xml:space="preserve">Rhayssa Lira</t>
  </si>
  <si>
    <t xml:space="preserve">13.32</t>
  </si>
  <si>
    <t xml:space="preserve">388.38</t>
  </si>
  <si>
    <t xml:space="preserve">HM9WAD2T5W</t>
  </si>
  <si>
    <t xml:space="preserve">05/09/2025</t>
  </si>
  <si>
    <t xml:space="preserve">05/22/2025</t>
  </si>
  <si>
    <t xml:space="preserve">Let��cia Tamasia</t>
  </si>
  <si>
    <t xml:space="preserve">16.05</t>
  </si>
  <si>
    <t xml:space="preserve">468.05</t>
  </si>
  <si>
    <t xml:space="preserve">HMPEM4W2PZ</t>
  </si>
  <si>
    <t xml:space="preserve">05/30/2025</t>
  </si>
  <si>
    <t xml:space="preserve">06/01/2025</t>
  </si>
  <si>
    <t xml:space="preserve">Karen Garcia</t>
  </si>
  <si>
    <t xml:space="preserve">22.06</t>
  </si>
  <si>
    <t xml:space="preserve">643.32</t>
  </si>
  <si>
    <t xml:space="preserve">HMF8SHFHEP</t>
  </si>
  <si>
    <t xml:space="preserve">06/02/2025</t>
  </si>
  <si>
    <t xml:space="preserve">06/04/2025</t>
  </si>
  <si>
    <t xml:space="preserve">Monique Ara��jo</t>
  </si>
  <si>
    <t xml:space="preserve">14.69</t>
  </si>
  <si>
    <t xml:space="preserve">428.21</t>
  </si>
  <si>
    <t xml:space="preserve">HMA5585SX9</t>
  </si>
  <si>
    <t xml:space="preserve">06/05/2025</t>
  </si>
  <si>
    <t xml:space="preserve">06/06/2025</t>
  </si>
  <si>
    <t xml:space="preserve">Gibran Bolzan</t>
  </si>
  <si>
    <t xml:space="preserve">HMN8E3EBYQ</t>
  </si>
  <si>
    <t xml:space="preserve">05/12/2025</t>
  </si>
  <si>
    <t xml:space="preserve">06/08/2025</t>
  </si>
  <si>
    <t xml:space="preserve">Jo��o M��rcio</t>
  </si>
  <si>
    <t xml:space="preserve">20.14</t>
  </si>
  <si>
    <t xml:space="preserve">587.56</t>
  </si>
  <si>
    <t xml:space="preserve">HM4YM2JKHJ</t>
  </si>
  <si>
    <t xml:space="preserve">05/21/2025</t>
  </si>
  <si>
    <t xml:space="preserve">06/13/2025</t>
  </si>
  <si>
    <t xml:space="preserve">06/15/2025</t>
  </si>
  <si>
    <t xml:space="preserve">Lya Torres</t>
  </si>
  <si>
    <t xml:space="preserve">24.11</t>
  </si>
  <si>
    <t xml:space="preserve">703.07</t>
  </si>
  <si>
    <t xml:space="preserve">HMMBYR45JE</t>
  </si>
  <si>
    <t xml:space="preserve">06/19/2025</t>
  </si>
  <si>
    <t xml:space="preserve">06/22/2025</t>
  </si>
  <si>
    <t xml:space="preserve">Tha��sa Izidoro</t>
  </si>
  <si>
    <t xml:space="preserve">31.75</t>
  </si>
  <si>
    <t xml:space="preserve">926.15</t>
  </si>
  <si>
    <t xml:space="preserve">HMXTQYX3WK</t>
  </si>
  <si>
    <t xml:space="preserve">06/16/2025</t>
  </si>
  <si>
    <t xml:space="preserve">06/26/2025</t>
  </si>
  <si>
    <t xml:space="preserve">Maria Paula Belini</t>
  </si>
  <si>
    <t xml:space="preserve">25.34</t>
  </si>
  <si>
    <t xml:space="preserve">738.92</t>
  </si>
  <si>
    <t xml:space="preserve">HMKZAZ3F4A</t>
  </si>
  <si>
    <t xml:space="preserve">06/24/2025</t>
  </si>
  <si>
    <t xml:space="preserve">06/27/2025</t>
  </si>
  <si>
    <t xml:space="preserve">Luiz Faria</t>
  </si>
  <si>
    <t xml:space="preserve">12.22</t>
  </si>
  <si>
    <t xml:space="preserve">356.52</t>
  </si>
  <si>
    <t xml:space="preserve">HMCHYH4EXS</t>
  </si>
  <si>
    <t xml:space="preserve">06/29/2025</t>
  </si>
  <si>
    <t xml:space="preserve">Marcos Tavares</t>
  </si>
  <si>
    <t xml:space="preserve">20.56</t>
  </si>
  <si>
    <t xml:space="preserve">599.50</t>
  </si>
  <si>
    <t xml:space="preserve">HMHFFQXAEJ</t>
  </si>
  <si>
    <t xml:space="preserve">06/25/2025</t>
  </si>
  <si>
    <t xml:space="preserve">06/30/2025</t>
  </si>
  <si>
    <t xml:space="preserve">07/03/2025</t>
  </si>
  <si>
    <t xml:space="preserve">Mell Garcia</t>
  </si>
  <si>
    <t xml:space="preserve">19.88</t>
  </si>
  <si>
    <t xml:space="preserve">579.58</t>
  </si>
  <si>
    <t xml:space="preserve">HMWYN924ZH</t>
  </si>
  <si>
    <t xml:space="preserve">06/07/2025</t>
  </si>
  <si>
    <t xml:space="preserve">07/06/2025</t>
  </si>
  <si>
    <t xml:space="preserve">Rodolfo Dos Santos Adams</t>
  </si>
  <si>
    <t xml:space="preserve">36.54</t>
  </si>
  <si>
    <t xml:space="preserve">1065.56</t>
  </si>
  <si>
    <t xml:space="preserve">HMYH5YMBXX</t>
  </si>
  <si>
    <t xml:space="preserve">07/01/2025</t>
  </si>
  <si>
    <t xml:space="preserve">07/07/2025</t>
  </si>
  <si>
    <t xml:space="preserve">07/13/2025</t>
  </si>
  <si>
    <t xml:space="preserve">Arnold Pasquier</t>
  </si>
  <si>
    <t xml:space="preserve">40.83</t>
  </si>
  <si>
    <t xml:space="preserve">1193.11</t>
  </si>
  <si>
    <t xml:space="preserve">HM8A43CXNP</t>
  </si>
  <si>
    <t xml:space="preserve">07/04/2025</t>
  </si>
  <si>
    <t xml:space="preserve">07/15/2025</t>
  </si>
  <si>
    <t xml:space="preserve">07/20/2025</t>
  </si>
  <si>
    <t xml:space="preserve">Rosi Pando</t>
  </si>
  <si>
    <t xml:space="preserve">39.96</t>
  </si>
  <si>
    <t xml:space="preserve">1165.14</t>
  </si>
  <si>
    <t xml:space="preserve">HM3PQ2PJZM</t>
  </si>
  <si>
    <t xml:space="preserve">07/08/2025</t>
  </si>
  <si>
    <t xml:space="preserve">07/21/2025</t>
  </si>
  <si>
    <t xml:space="preserve">07/22/2025</t>
  </si>
  <si>
    <t xml:space="preserve">Pedro Costa</t>
  </si>
  <si>
    <t xml:space="preserve">12.64</t>
  </si>
  <si>
    <t xml:space="preserve">368.46</t>
  </si>
  <si>
    <t xml:space="preserve">HMZKMMTRJE</t>
  </si>
  <si>
    <t xml:space="preserve">07/23/2025</t>
  </si>
  <si>
    <t xml:space="preserve">07/28/2025</t>
  </si>
  <si>
    <t xml:space="preserve">Rogerio Machado</t>
  </si>
  <si>
    <t xml:space="preserve">55.28</t>
  </si>
  <si>
    <t xml:space="preserve">1612.29</t>
  </si>
  <si>
    <t xml:space="preserve">Tipo</t>
  </si>
  <si>
    <t xml:space="preserve">Código de Confirmação</t>
  </si>
  <si>
    <t xml:space="preserve">Data de início</t>
  </si>
  <si>
    <t xml:space="preserve">Data de término</t>
  </si>
  <si>
    <t xml:space="preserve">Hóspede</t>
  </si>
  <si>
    <t xml:space="preserve">Anúncio</t>
  </si>
  <si>
    <t xml:space="preserve">Código de referência</t>
  </si>
  <si>
    <t xml:space="preserve">Taxa de serviço</t>
  </si>
  <si>
    <t xml:space="preserve">Taxa de pagamento rápido</t>
  </si>
  <si>
    <t xml:space="preserve">Impostos de ocupação</t>
  </si>
  <si>
    <t xml:space="preserve">HMHTRN5835</t>
  </si>
  <si>
    <t xml:space="preserve">08/01/2025</t>
  </si>
  <si>
    <t xml:space="preserve">Mauro Bernardini</t>
  </si>
  <si>
    <t xml:space="preserve">34.72</t>
  </si>
  <si>
    <t xml:space="preserve">1012.79</t>
  </si>
  <si>
    <t xml:space="preserve">HMX2E2ZMB3</t>
  </si>
  <si>
    <t xml:space="preserve">08/04/2025</t>
  </si>
  <si>
    <t xml:space="preserve">Henrique Tso</t>
  </si>
  <si>
    <t xml:space="preserve">37.79</t>
  </si>
  <si>
    <t xml:space="preserve">825.41</t>
  </si>
  <si>
    <t xml:space="preserve">HMNSATNE29</t>
  </si>
  <si>
    <t xml:space="preserve">07/31/2025</t>
  </si>
  <si>
    <t xml:space="preserve">08/06/2025</t>
  </si>
  <si>
    <t xml:space="preserve">08/08/2025</t>
  </si>
  <si>
    <t xml:space="preserve">Leo Passos</t>
  </si>
  <si>
    <t xml:space="preserve">22.32</t>
  </si>
  <si>
    <t xml:space="preserve">487.28</t>
  </si>
  <si>
    <t xml:space="preserve">HMA8ZXR3CW</t>
  </si>
  <si>
    <t xml:space="preserve">08/03/2025</t>
  </si>
  <si>
    <t xml:space="preserve">08/12/2025</t>
  </si>
  <si>
    <t xml:space="preserve">Silvia Argiles Wolff</t>
  </si>
  <si>
    <t xml:space="preserve">44.52</t>
  </si>
  <si>
    <t xml:space="preserve">972.60</t>
  </si>
  <si>
    <t xml:space="preserve">HMBKXZWFA3</t>
  </si>
  <si>
    <t xml:space="preserve">07/27/2025</t>
  </si>
  <si>
    <t xml:space="preserve">08/13/2025</t>
  </si>
  <si>
    <t xml:space="preserve">08/15/2025</t>
  </si>
  <si>
    <t xml:space="preserve">Rafael Sbrissia</t>
  </si>
  <si>
    <t xml:space="preserve">24.69</t>
  </si>
  <si>
    <t xml:space="preserve">538.99</t>
  </si>
  <si>
    <t xml:space="preserve">HMYCQYMKB3</t>
  </si>
  <si>
    <t xml:space="preserve">08/17/2025</t>
  </si>
  <si>
    <t xml:space="preserve">Bianca Lacerda</t>
  </si>
  <si>
    <t xml:space="preserve">25.92</t>
  </si>
  <si>
    <t xml:space="preserve">755.85</t>
  </si>
  <si>
    <t xml:space="preserve">HM32C5E4DJ</t>
  </si>
  <si>
    <t xml:space="preserve">08/10/2025</t>
  </si>
  <si>
    <t xml:space="preserve">08/20/2025</t>
  </si>
  <si>
    <t xml:space="preserve">Olua Campos Kwiecinski</t>
  </si>
  <si>
    <t xml:space="preserve">31.42</t>
  </si>
  <si>
    <t xml:space="preserve">686.18</t>
  </si>
  <si>
    <t xml:space="preserve">HMFZ5BHTCK</t>
  </si>
  <si>
    <t xml:space="preserve">08/23/2025</t>
  </si>
  <si>
    <t xml:space="preserve">08/29/2025</t>
  </si>
  <si>
    <t xml:space="preserve">Annette Cotter</t>
  </si>
  <si>
    <t xml:space="preserve">66.24</t>
  </si>
  <si>
    <t xml:space="preserve">1446.96</t>
  </si>
  <si>
    <t xml:space="preserve">HMNKQCMDPW</t>
  </si>
  <si>
    <t xml:space="preserve">08/31/2025</t>
  </si>
  <si>
    <t xml:space="preserve">Artur Bertone</t>
  </si>
  <si>
    <t xml:space="preserve">34.15</t>
  </si>
  <si>
    <t xml:space="preserve">745.85</t>
  </si>
  <si>
    <t xml:space="preserve">Informações</t>
  </si>
  <si>
    <t xml:space="preserve">HM9W5988ZX</t>
  </si>
  <si>
    <t xml:space="preserve">08/18/2025</t>
  </si>
  <si>
    <t xml:space="preserve">09/04/2025</t>
  </si>
  <si>
    <t xml:space="preserve">09/09/2025</t>
  </si>
  <si>
    <t xml:space="preserve">Sandra Andrade Santos</t>
  </si>
  <si>
    <t xml:space="preserve">69.11</t>
  </si>
  <si>
    <t xml:space="preserve">1509.61</t>
  </si>
  <si>
    <t xml:space="preserve">HM5WFR9YF8</t>
  </si>
  <si>
    <t xml:space="preserve">08/21/2025</t>
  </si>
  <si>
    <t xml:space="preserve">09/11/2025</t>
  </si>
  <si>
    <t xml:space="preserve">David Neto</t>
  </si>
  <si>
    <t xml:space="preserve">34.88</t>
  </si>
  <si>
    <t xml:space="preserve">761.76</t>
  </si>
  <si>
    <t xml:space="preserve">HMHX5WBF83</t>
  </si>
  <si>
    <t xml:space="preserve">08/16/2025</t>
  </si>
  <si>
    <t xml:space="preserve">09/19/2025</t>
  </si>
  <si>
    <t xml:space="preserve">George Lins</t>
  </si>
  <si>
    <t xml:space="preserve">121.39</t>
  </si>
  <si>
    <t xml:space="preserve">2651.25</t>
  </si>
  <si>
    <t xml:space="preserve">HMNBD2SRSW</t>
  </si>
  <si>
    <t xml:space="preserve">09/01/2025</t>
  </si>
  <si>
    <t xml:space="preserve">09/22/2025</t>
  </si>
  <si>
    <t xml:space="preserve">38.70</t>
  </si>
  <si>
    <t xml:space="preserve">845.30</t>
  </si>
  <si>
    <t xml:space="preserve">HMCTFM8BFP</t>
  </si>
  <si>
    <t xml:space="preserve">09/29/2025</t>
  </si>
  <si>
    <t xml:space="preserve">Rodrigo Junges</t>
  </si>
  <si>
    <t xml:space="preserve">69.66</t>
  </si>
  <si>
    <t xml:space="preserve">1521.54</t>
  </si>
  <si>
    <t xml:space="preserve">Pagamento da Resolução</t>
  </si>
  <si>
    <t xml:space="preserve">Pagamento para a resolução CLA-YBF9YB2BDT da reserva HMCTFM8BFP</t>
  </si>
  <si>
    <t xml:space="preserve">114.00</t>
  </si>
  <si>
    <t xml:space="preserve">HMFHY2M4AN</t>
  </si>
  <si>
    <t xml:space="preserve">09/14/2025</t>
  </si>
  <si>
    <t xml:space="preserve">10/01/2025</t>
  </si>
  <si>
    <t xml:space="preserve">10/06/2025</t>
  </si>
  <si>
    <t xml:space="preserve">Iuri Santos</t>
  </si>
  <si>
    <t xml:space="preserve">61.83</t>
  </si>
  <si>
    <t xml:space="preserve">1350.49</t>
  </si>
  <si>
    <t xml:space="preserve">Pagamento para a resolução CLA-93NBTKTBYT da reserva HMFHY2M4AN</t>
  </si>
  <si>
    <t xml:space="preserve">160.00</t>
  </si>
  <si>
    <t xml:space="preserve">HM8ER5HS5B</t>
  </si>
  <si>
    <t xml:space="preserve">10/05/2025</t>
  </si>
  <si>
    <t xml:space="preserve">10/07/2025</t>
  </si>
  <si>
    <t xml:space="preserve">10/09/2025</t>
  </si>
  <si>
    <t xml:space="preserve">Thalia Vieira</t>
  </si>
  <si>
    <t xml:space="preserve">21.40</t>
  </si>
  <si>
    <t xml:space="preserve">467.40</t>
  </si>
  <si>
    <t xml:space="preserve">HME8PKD2SN</t>
  </si>
  <si>
    <t xml:space="preserve">09/08/2025</t>
  </si>
  <si>
    <t xml:space="preserve">10/13/2025</t>
  </si>
  <si>
    <t xml:space="preserve">Eber Marzulo</t>
  </si>
  <si>
    <t xml:space="preserve">57.82</t>
  </si>
  <si>
    <t xml:space="preserve">1262.98</t>
  </si>
  <si>
    <t xml:space="preserve">HM25D5B8EB</t>
  </si>
  <si>
    <t xml:space="preserve">10/03/2025</t>
  </si>
  <si>
    <t xml:space="preserve">10/15/2025</t>
  </si>
  <si>
    <t xml:space="preserve">10/17/2025</t>
  </si>
  <si>
    <t xml:space="preserve">Frederico Coelho</t>
  </si>
  <si>
    <t xml:space="preserve">26.68</t>
  </si>
  <si>
    <t xml:space="preserve">582.76</t>
  </si>
  <si>
    <t xml:space="preserve">HM3J3CS4WB</t>
  </si>
  <si>
    <t xml:space="preserve">10/19/2025</t>
  </si>
  <si>
    <t xml:space="preserve">Anna Clara De Faria Lima</t>
  </si>
  <si>
    <t xml:space="preserve">HMHHQ3BMMP</t>
  </si>
  <si>
    <t xml:space="preserve">09/07/2025</t>
  </si>
  <si>
    <t xml:space="preserve">10/23/2025</t>
  </si>
  <si>
    <t xml:space="preserve">10/27/2025</t>
  </si>
  <si>
    <t xml:space="preserve">Juliana Cristina</t>
  </si>
  <si>
    <t xml:space="preserve">HMCN2TBS4C</t>
  </si>
  <si>
    <t xml:space="preserve">10/29/2025</t>
  </si>
  <si>
    <t xml:space="preserve">11/02/2025</t>
  </si>
  <si>
    <t xml:space="preserve">Paloma Martins</t>
  </si>
  <si>
    <t xml:space="preserve">51.45</t>
  </si>
  <si>
    <t xml:space="preserve">1123.75</t>
  </si>
  <si>
    <t xml:space="preserve">HM4ACDJXXJ</t>
  </si>
  <si>
    <t xml:space="preserve">11/07/2025</t>
  </si>
  <si>
    <t xml:space="preserve">11/09/2025</t>
  </si>
  <si>
    <t xml:space="preserve">Daniele Gabriel</t>
  </si>
  <si>
    <t xml:space="preserve">Pagamento para a resolução CLA-TSSCJ32TX2 da reserva HM4ACDJXXJ</t>
  </si>
  <si>
    <t xml:space="preserve">180.00</t>
  </si>
  <si>
    <t xml:space="preserve">HMADPD2ASP</t>
  </si>
  <si>
    <t xml:space="preserve">11/14/2025</t>
  </si>
  <si>
    <t xml:space="preserve">11/16/2025</t>
  </si>
  <si>
    <t xml:space="preserve">Alexandre Domingues Reis</t>
  </si>
  <si>
    <t xml:space="preserve">Pagamento para a resolução CLA-KW23QHQWDX da reserva HMADPD2ASP</t>
  </si>
  <si>
    <t xml:space="preserve">HMBBAW9YS9</t>
  </si>
  <si>
    <t xml:space="preserve">11/04/2025</t>
  </si>
  <si>
    <t xml:space="preserve">Kamila Craveira</t>
  </si>
  <si>
    <t xml:space="preserve">30.05</t>
  </si>
  <si>
    <t xml:space="preserve">656.35</t>
  </si>
  <si>
    <t xml:space="preserve">38.16</t>
  </si>
  <si>
    <t xml:space="preserve">833.36</t>
  </si>
  <si>
    <t xml:space="preserve">HMJXJ5SN8Z</t>
  </si>
  <si>
    <t xml:space="preserve">11/05/2025</t>
  </si>
  <si>
    <t xml:space="preserve">11/12/2025</t>
  </si>
  <si>
    <t xml:space="preserve">Rodolfo Frota</t>
  </si>
  <si>
    <t xml:space="preserve">10/26/2025</t>
  </si>
  <si>
    <t xml:space="preserve">32.33</t>
  </si>
  <si>
    <t xml:space="preserve">706.07</t>
  </si>
  <si>
    <t xml:space="preserve">HMAJFEHFSN</t>
  </si>
  <si>
    <t xml:space="preserve">11/17/2025</t>
  </si>
  <si>
    <t xml:space="preserve">11/18/2025</t>
  </si>
  <si>
    <t xml:space="preserve">Alexandre Kenji Okabaiasse</t>
  </si>
  <si>
    <t xml:space="preserve">14.57</t>
  </si>
  <si>
    <t xml:space="preserve">318.23</t>
  </si>
  <si>
    <t xml:space="preserve">HMZXYXYPYJ</t>
  </si>
  <si>
    <t xml:space="preserve">11/20/2025</t>
  </si>
  <si>
    <t xml:space="preserve">Daniela Cremasco</t>
  </si>
  <si>
    <t xml:space="preserve">27.78</t>
  </si>
  <si>
    <t xml:space="preserve">606.62</t>
  </si>
  <si>
    <t xml:space="preserve">HMCP8PRYFC</t>
  </si>
  <si>
    <t xml:space="preserve">10/02/2025</t>
  </si>
  <si>
    <t xml:space="preserve">11/22/2025</t>
  </si>
  <si>
    <t xml:space="preserve">Isabel Stange</t>
  </si>
  <si>
    <t xml:space="preserve">33.79</t>
  </si>
  <si>
    <t xml:space="preserve">737.89</t>
  </si>
  <si>
    <t xml:space="preserve">HM2X4KT55T</t>
  </si>
  <si>
    <t xml:space="preserve">12/02/2025</t>
  </si>
  <si>
    <t xml:space="preserve">Renan Rocha De Oliveira Gonçalves</t>
  </si>
  <si>
    <t xml:space="preserve">127.13</t>
  </si>
  <si>
    <t xml:space="preserve">2776.55</t>
  </si>
  <si>
    <t xml:space="preserve">HMMJXKCZBM</t>
  </si>
  <si>
    <t xml:space="preserve">11/28/2025</t>
  </si>
  <si>
    <t xml:space="preserve">12/04/2025</t>
  </si>
  <si>
    <t xml:space="preserve">Mikaely Silva Santos</t>
  </si>
  <si>
    <t xml:space="preserve">23.04</t>
  </si>
  <si>
    <t xml:space="preserve">503.20</t>
  </si>
  <si>
    <t xml:space="preserve">HMTPAXQ9N5</t>
  </si>
  <si>
    <t xml:space="preserve">10/11/2025</t>
  </si>
  <si>
    <t xml:space="preserve">12/08/2025</t>
  </si>
  <si>
    <t xml:space="preserve">Moritz Wagner</t>
  </si>
  <si>
    <t xml:space="preserve">59.38</t>
  </si>
  <si>
    <t xml:space="preserve">1295.74</t>
  </si>
  <si>
    <t xml:space="preserve">HME2D852RD</t>
  </si>
  <si>
    <t xml:space="preserve">12/09/2025</t>
  </si>
  <si>
    <t xml:space="preserve">12/15/2025</t>
  </si>
  <si>
    <t xml:space="preserve">Guilherme Rangel</t>
  </si>
  <si>
    <t xml:space="preserve">64.20</t>
  </si>
  <si>
    <t xml:space="preserve">1402.20</t>
  </si>
  <si>
    <t xml:space="preserve">HM3E39ZNDF</t>
  </si>
  <si>
    <t xml:space="preserve">12/16/2025</t>
  </si>
  <si>
    <t xml:space="preserve">12/19/2025</t>
  </si>
  <si>
    <t xml:space="preserve">Andrea Peil</t>
  </si>
  <si>
    <t xml:space="preserve">HMX5BZ4XTS</t>
  </si>
  <si>
    <t xml:space="preserve">11/03/2025</t>
  </si>
  <si>
    <t xml:space="preserve">12/18/2025</t>
  </si>
  <si>
    <t xml:space="preserve">Jennifer </t>
  </si>
  <si>
    <t xml:space="preserve">Cancelado mas Airbnb pagou</t>
  </si>
  <si>
    <t xml:space="preserve">7.48</t>
  </si>
  <si>
    <t xml:space="preserve">75.00</t>
  </si>
  <si>
    <t xml:space="preserve">187.00</t>
  </si>
  <si>
    <t xml:space="preserve">HM3BMMD39T</t>
  </si>
  <si>
    <t xml:space="preserve">12/06/2025</t>
  </si>
  <si>
    <t xml:space="preserve">12/21/2025</t>
  </si>
  <si>
    <t xml:space="preserve">Guilherme Vidal</t>
  </si>
  <si>
    <t xml:space="preserve">30.50</t>
  </si>
  <si>
    <t xml:space="preserve">666.30</t>
  </si>
  <si>
    <t xml:space="preserve">HMEZPX44AB</t>
  </si>
  <si>
    <t xml:space="preserve">10/18/2025</t>
  </si>
  <si>
    <t xml:space="preserve">12/26/2025</t>
  </si>
  <si>
    <t xml:space="preserve">01/01/2026</t>
  </si>
  <si>
    <t xml:space="preserve">David Milani</t>
  </si>
  <si>
    <t xml:space="preserve">127.03</t>
  </si>
  <si>
    <t xml:space="preserve">2774.57</t>
  </si>
  <si>
    <t xml:space="preserve">HMBB28TNWK</t>
  </si>
  <si>
    <t xml:space="preserve">01/02/2026</t>
  </si>
  <si>
    <t xml:space="preserve">01/04/2026</t>
  </si>
  <si>
    <t xml:space="preserve">Joao Wainer</t>
  </si>
  <si>
    <t xml:space="preserve">26.86</t>
  </si>
  <si>
    <t xml:space="preserve">586.74</t>
  </si>
  <si>
    <t xml:space="preserve">HMCXKZ8SJC</t>
  </si>
  <si>
    <t xml:space="preserve">12/20/2025</t>
  </si>
  <si>
    <t xml:space="preserve">01/11/2026</t>
  </si>
  <si>
    <t xml:space="preserve">Eduardo Amaral</t>
  </si>
  <si>
    <t xml:space="preserve">73.77</t>
  </si>
  <si>
    <t xml:space="preserve">1611.03</t>
  </si>
  <si>
    <t xml:space="preserve">HMB33M98DQ</t>
  </si>
  <si>
    <t xml:space="preserve">01/14/2026</t>
  </si>
  <si>
    <t xml:space="preserve">01/17/2026</t>
  </si>
  <si>
    <t xml:space="preserve">Lenise Honorato</t>
  </si>
  <si>
    <t xml:space="preserve">42.52</t>
  </si>
  <si>
    <t xml:space="preserve">928.84</t>
  </si>
  <si>
    <t xml:space="preserve">HMX9N34NYY</t>
  </si>
  <si>
    <t xml:space="preserve">01/09/2026</t>
  </si>
  <si>
    <t xml:space="preserve">01/22/2026</t>
  </si>
  <si>
    <t xml:space="preserve">01/26/2026</t>
  </si>
  <si>
    <t xml:space="preserve">Patric Dutra</t>
  </si>
  <si>
    <t xml:space="preserve">45.99</t>
  </si>
  <si>
    <t xml:space="preserve">1004.41</t>
  </si>
  <si>
    <t xml:space="preserve">HM9K33NPQT</t>
  </si>
  <si>
    <t xml:space="preserve">01/28/2026</t>
  </si>
  <si>
    <t xml:space="preserve">Erick Tavares</t>
  </si>
  <si>
    <t xml:space="preserve">23.21</t>
  </si>
  <si>
    <t xml:space="preserve">507.19</t>
  </si>
  <si>
    <t xml:space="preserve">HM93ZST4HA</t>
  </si>
  <si>
    <t xml:space="preserve">01/29/2026</t>
  </si>
  <si>
    <t xml:space="preserve">Eduardo Pires</t>
  </si>
  <si>
    <t xml:space="preserve">15.03</t>
  </si>
  <si>
    <t xml:space="preserve">328.17</t>
  </si>
  <si>
    <t xml:space="preserve">HMFBNTE9MX</t>
  </si>
  <si>
    <t xml:space="preserve">01/30/2026</t>
  </si>
  <si>
    <t xml:space="preserve">Fábio Pimenta</t>
  </si>
  <si>
    <t xml:space="preserve">HMYHZYHXA3</t>
  </si>
  <si>
    <t xml:space="preserve">02/05/2026</t>
  </si>
  <si>
    <t xml:space="preserve">02/27/2026</t>
  </si>
  <si>
    <t xml:space="preserve">03/01/2026</t>
  </si>
  <si>
    <t xml:space="preserve">Bruno Kozlowski</t>
  </si>
  <si>
    <t xml:space="preserve">HMCZ9XEJ83</t>
  </si>
  <si>
    <t xml:space="preserve">02/25/2026</t>
  </si>
  <si>
    <t xml:space="preserve">02/26/2026</t>
  </si>
  <si>
    <t xml:space="preserve">Samuel Santos</t>
  </si>
  <si>
    <t xml:space="preserve">HM5DJ45FF9</t>
  </si>
  <si>
    <t xml:space="preserve">02/21/2026</t>
  </si>
  <si>
    <t xml:space="preserve">02/23/2026</t>
  </si>
  <si>
    <t xml:space="preserve">Ana Abu Kamel</t>
  </si>
  <si>
    <t xml:space="preserve">HM9JWADJBP</t>
  </si>
  <si>
    <t xml:space="preserve">01/19/2026</t>
  </si>
  <si>
    <t xml:space="preserve">02/20/2026</t>
  </si>
  <si>
    <t xml:space="preserve">02/22/2026</t>
  </si>
  <si>
    <t xml:space="preserve">Thiago Fagundes</t>
  </si>
  <si>
    <t xml:space="preserve">28.68</t>
  </si>
  <si>
    <t xml:space="preserve">626.52</t>
  </si>
  <si>
    <t xml:space="preserve">HM5AF3YJN9</t>
  </si>
  <si>
    <t xml:space="preserve">02/09/2026</t>
  </si>
  <si>
    <t xml:space="preserve">02/12/2026</t>
  </si>
  <si>
    <t xml:space="preserve">02/16/2026</t>
  </si>
  <si>
    <t xml:space="preserve">Bernard Resewski</t>
  </si>
  <si>
    <t xml:space="preserve">46.91</t>
  </si>
  <si>
    <t xml:space="preserve">1024.29</t>
  </si>
  <si>
    <t xml:space="preserve">HMSHFFMQDA</t>
  </si>
  <si>
    <t xml:space="preserve">02/08/2026</t>
  </si>
  <si>
    <t xml:space="preserve">Adrien Padellec</t>
  </si>
  <si>
    <t xml:space="preserve">36.89</t>
  </si>
  <si>
    <t xml:space="preserve">805.51</t>
  </si>
  <si>
    <t xml:space="preserve">HMBFBQDW2T</t>
  </si>
  <si>
    <t xml:space="preserve">01/31/2026</t>
  </si>
  <si>
    <t xml:space="preserve">02/02/2026</t>
  </si>
  <si>
    <t xml:space="preserve">João Burgani</t>
  </si>
  <si>
    <t xml:space="preserve">25.95</t>
  </si>
  <si>
    <t xml:space="preserve">566.85</t>
  </si>
  <si>
    <t xml:space="preserve">Imposto repassado pelo Airbnb</t>
  </si>
  <si>
    <t xml:space="preserve">HMXHX54MR8</t>
  </si>
  <si>
    <t xml:space="preserve">02/03/2026</t>
  </si>
  <si>
    <t xml:space="preserve">03/03/2026</t>
  </si>
  <si>
    <t xml:space="preserve">03/07/2026</t>
  </si>
  <si>
    <t xml:space="preserve">Diego Costa</t>
  </si>
  <si>
    <t xml:space="preserve">HMQBQ9EHNQ</t>
  </si>
  <si>
    <t xml:space="preserve">03/10/2026</t>
  </si>
  <si>
    <t xml:space="preserve">Fernanda Vasconcellos</t>
  </si>
  <si>
    <t xml:space="preserve">HMZWRMWE8Z</t>
  </si>
  <si>
    <t xml:space="preserve">02/06/2026</t>
  </si>
  <si>
    <t xml:space="preserve">03/11/2026</t>
  </si>
  <si>
    <t xml:space="preserve">03/13/2026</t>
  </si>
  <si>
    <t xml:space="preserve">Camila Paris</t>
  </si>
  <si>
    <t xml:space="preserve">HM9HBBHM4B</t>
  </si>
  <si>
    <t xml:space="preserve">03/15/2026</t>
  </si>
  <si>
    <t xml:space="preserve">Eduarda Brod</t>
  </si>
  <si>
    <t xml:space="preserve">HMMQ3HN9PX</t>
  </si>
  <si>
    <t xml:space="preserve">03/16/2026</t>
  </si>
  <si>
    <t xml:space="preserve">03/20/2026</t>
  </si>
  <si>
    <t xml:space="preserve">James Kerley</t>
  </si>
  <si>
    <t xml:space="preserve">HM5ANWDESX</t>
  </si>
  <si>
    <t xml:space="preserve">03/22/2026</t>
  </si>
  <si>
    <t xml:space="preserve">Vítor Garcia De Souza</t>
  </si>
  <si>
    <t xml:space="preserve">HM22AYCTK2</t>
  </si>
  <si>
    <t xml:space="preserve">03/25/2026</t>
  </si>
  <si>
    <t xml:space="preserve">Anthony Algieri</t>
  </si>
  <si>
    <t xml:space="preserve">HMHY32HD9J</t>
  </si>
  <si>
    <t xml:space="preserve">03/02/2026</t>
  </si>
  <si>
    <t xml:space="preserve">03/29/2026</t>
  </si>
  <si>
    <t xml:space="preserve">Adrien Couveinhes</t>
  </si>
  <si>
    <t xml:space="preserve">HMJTECWY22</t>
  </si>
  <si>
    <t xml:space="preserve">04/02/2026</t>
  </si>
  <si>
    <t xml:space="preserve">04/03/2026</t>
  </si>
  <si>
    <t xml:space="preserve">Barbara Facci Braga</t>
  </si>
  <si>
    <t xml:space="preserve">HMWAZ35MY9</t>
  </si>
  <si>
    <t xml:space="preserve">03/08/2026</t>
  </si>
  <si>
    <t xml:space="preserve">04/05/2026</t>
  </si>
  <si>
    <t xml:space="preserve">Artur Gijón</t>
  </si>
  <si>
    <t xml:space="preserve">HMJCK4Q9N9</t>
  </si>
  <si>
    <t xml:space="preserve">04/04/2026</t>
  </si>
  <si>
    <t xml:space="preserve">04/06/2026</t>
  </si>
  <si>
    <t xml:space="preserve">04/09/2026</t>
  </si>
  <si>
    <t xml:space="preserve">Sebastião Filho</t>
  </si>
  <si>
    <t xml:space="preserve">584.75</t>
  </si>
  <si>
    <t xml:space="preserve">HMW5ZN24Z8</t>
  </si>
  <si>
    <t xml:space="preserve">04/13/2026</t>
  </si>
  <si>
    <t xml:space="preserve">Johannes Seibel</t>
  </si>
  <si>
    <t xml:space="preserve">1064.15</t>
  </si>
  <si>
    <t xml:space="preserve">HMN2SAJ9AP</t>
  </si>
  <si>
    <t xml:space="preserve">04/14/2026</t>
  </si>
  <si>
    <t xml:space="preserve">04/18/2026</t>
  </si>
  <si>
    <t xml:space="preserve">Luis Gasparini</t>
  </si>
  <si>
    <t xml:space="preserve">964.63</t>
  </si>
  <si>
    <t xml:space="preserve">HM5EYYD2ZJ</t>
  </si>
  <si>
    <t xml:space="preserve">04/01/2026</t>
  </si>
  <si>
    <t xml:space="preserve">04/20/2026</t>
  </si>
  <si>
    <t xml:space="preserve">Dione Henrique Dias</t>
  </si>
  <si>
    <t xml:space="preserve">HMZAH2DNDK</t>
  </si>
  <si>
    <t xml:space="preserve">04/23/2026</t>
  </si>
  <si>
    <t xml:space="preserve">Ian Dubé-Doutre</t>
  </si>
  <si>
    <t xml:space="preserve">686.20</t>
  </si>
  <si>
    <t xml:space="preserve">HM9D9F8H8K</t>
  </si>
  <si>
    <t xml:space="preserve">03/27/2026</t>
  </si>
  <si>
    <t xml:space="preserve">04/24/2026</t>
  </si>
  <si>
    <t xml:space="preserve">Laura Eichner</t>
  </si>
  <si>
    <t xml:space="preserve">HMQ9QX8P9D</t>
  </si>
  <si>
    <t xml:space="preserve">03/06/2026</t>
  </si>
  <si>
    <t xml:space="preserve">04/26/2026</t>
  </si>
  <si>
    <t xml:space="preserve">Ana Lourdes Lemos Oliveira</t>
  </si>
  <si>
    <t xml:space="preserve">HMY38RBTKK</t>
  </si>
  <si>
    <t xml:space="preserve">04/22/2026</t>
  </si>
  <si>
    <t xml:space="preserve">04/28/2026</t>
  </si>
  <si>
    <t xml:space="preserve">Nicolle Brandão</t>
  </si>
  <si>
    <t xml:space="preserve">03/17/2026</t>
  </si>
  <si>
    <t xml:space="preserve">04/30/2026</t>
  </si>
  <si>
    <t xml:space="preserve">05/03/2026</t>
  </si>
  <si>
    <t xml:space="preserve">1163.53</t>
  </si>
  <si>
    <t xml:space="preserve">04/27/2026</t>
  </si>
  <si>
    <t xml:space="preserve">05/04/2026</t>
  </si>
  <si>
    <t xml:space="preserve">05/05/2026</t>
  </si>
  <si>
    <t xml:space="preserve">Dri Harlocck</t>
  </si>
  <si>
    <t xml:space="preserve">313.25</t>
  </si>
  <si>
    <t xml:space="preserve">05/06/2026</t>
  </si>
  <si>
    <t xml:space="preserve">05/08/2026</t>
  </si>
  <si>
    <t xml:space="preserve">Josine Haubert</t>
  </si>
  <si>
    <t xml:space="preserve">477.35</t>
  </si>
  <si>
    <t xml:space="preserve">05/10/2026</t>
  </si>
  <si>
    <t xml:space="preserve">Ana Badaro Dos Santos</t>
  </si>
  <si>
    <t xml:space="preserve">904.97</t>
  </si>
  <si>
    <t xml:space="preserve">05/12/2026</t>
  </si>
  <si>
    <t xml:space="preserve">05/14/2026</t>
  </si>
  <si>
    <t xml:space="preserve">Cristina Todeschini</t>
  </si>
  <si>
    <t xml:space="preserve">03/26/2026</t>
  </si>
  <si>
    <t xml:space="preserve">05/15/2026</t>
  </si>
  <si>
    <t xml:space="preserve">05/17/2026</t>
  </si>
  <si>
    <t xml:space="preserve">Fernanda Machado</t>
  </si>
  <si>
    <t xml:space="preserve">05/21/2026</t>
  </si>
  <si>
    <t xml:space="preserve">Tiago Vinicius Kowalczyk Dos Santos</t>
  </si>
  <si>
    <t xml:space="preserve">05/22/2026</t>
  </si>
  <si>
    <t xml:space="preserve">05/26/2026</t>
  </si>
  <si>
    <t xml:space="preserve">Micaela Neiva Moreira</t>
  </si>
  <si>
    <t xml:space="preserve">1064.09</t>
  </si>
  <si>
    <t xml:space="preserve">05/18/2026</t>
  </si>
  <si>
    <t xml:space="preserve">05/30/2026</t>
  </si>
  <si>
    <t xml:space="preserve">Brunelle Ribeiro</t>
  </si>
  <si>
    <t xml:space="preserve">815.46</t>
  </si>
  <si>
    <t xml:space="preserve">06/01/2026</t>
  </si>
  <si>
    <t xml:space="preserve">André Pugliesi</t>
  </si>
  <si>
    <t xml:space="preserve">646.40</t>
  </si>
  <si>
    <t xml:space="preserve">05/27/2026</t>
  </si>
  <si>
    <t xml:space="preserve">06/02/2026</t>
  </si>
  <si>
    <t xml:space="preserve">06/03/2026</t>
  </si>
  <si>
    <t xml:space="preserve">Raquel De Sousa Henriques</t>
  </si>
  <si>
    <t xml:space="preserve">05/31/2026</t>
  </si>
  <si>
    <t xml:space="preserve">06/04/2026</t>
  </si>
  <si>
    <t xml:space="preserve">Carolina </t>
  </si>
  <si>
    <t xml:space="preserve">06/09/2026</t>
  </si>
  <si>
    <t xml:space="preserve">Mauricio Bento</t>
  </si>
  <si>
    <t xml:space="preserve">06/10/2026</t>
  </si>
  <si>
    <t xml:space="preserve">06/13/2026</t>
  </si>
  <si>
    <t xml:space="preserve">Jessica Gomes</t>
  </si>
  <si>
    <t xml:space="preserve">06/15/2026</t>
  </si>
  <si>
    <t xml:space="preserve">Ísis Barbosa Mariz Lamim</t>
  </si>
  <si>
    <t xml:space="preserve">06/19/2026</t>
  </si>
  <si>
    <t xml:space="preserve">Daniela Ricotta</t>
  </si>
  <si>
    <t xml:space="preserve">06/21/2026</t>
  </si>
  <si>
    <t xml:space="preserve">Gabriella Barros</t>
  </si>
  <si>
    <t xml:space="preserve">06/23/2026</t>
  </si>
  <si>
    <t xml:space="preserve">Gero Tavares</t>
  </si>
  <si>
    <t xml:space="preserve">06/24/2026</t>
  </si>
  <si>
    <t xml:space="preserve">07/04/2026</t>
  </si>
  <si>
    <t xml:space="preserve">Roberto Pons Pons</t>
  </si>
  <si>
    <t xml:space="preserve">06/29/2026</t>
  </si>
  <si>
    <t xml:space="preserve">07/06/2026</t>
  </si>
  <si>
    <t xml:space="preserve">Karol Silva</t>
  </si>
  <si>
    <t xml:space="preserve">515.14</t>
  </si>
  <si>
    <t xml:space="preserve">06/12/2026</t>
  </si>
  <si>
    <t xml:space="preserve">07/08/2026</t>
  </si>
  <si>
    <t xml:space="preserve">Daniel Carboni</t>
  </si>
  <si>
    <t xml:space="preserve">07/11/2026</t>
  </si>
  <si>
    <t xml:space="preserve">Maria Clara Nóbrega</t>
  </si>
  <si>
    <t xml:space="preserve">03/05/2026</t>
  </si>
  <si>
    <t xml:space="preserve">07/14/2026</t>
  </si>
  <si>
    <t xml:space="preserve">Rute Alves</t>
  </si>
  <si>
    <t xml:space="preserve">924.85</t>
  </si>
  <si>
    <t xml:space="preserve">06/14/2026</t>
  </si>
  <si>
    <t xml:space="preserve">07/15/2026</t>
  </si>
  <si>
    <t xml:space="preserve">07/18/2026</t>
  </si>
  <si>
    <t xml:space="preserve">Rachelle Santolin</t>
  </si>
  <si>
    <t xml:space="preserve">752.81</t>
  </si>
  <si>
    <t xml:space="preserve">06/28/2026</t>
  </si>
  <si>
    <t xml:space="preserve">07/22/2026</t>
  </si>
  <si>
    <t xml:space="preserve">Rogerio Ramos</t>
  </si>
  <si>
    <t xml:space="preserve">1159.55</t>
  </si>
  <si>
    <t xml:space="preserve">07/23/2026</t>
  </si>
  <si>
    <t xml:space="preserve">07/27/2026</t>
  </si>
  <si>
    <t xml:space="preserve">Francisco Molina</t>
  </si>
  <si>
    <t xml:space="preserve"> + early checkin: 120</t>
  </si>
  <si>
    <t xml:space="preserve">1143.64</t>
  </si>
  <si>
    <t xml:space="preserve">07/28/2026</t>
  </si>
  <si>
    <t xml:space="preserve">07/30/2026</t>
  </si>
  <si>
    <t xml:space="preserve">Pedro Conessa</t>
  </si>
  <si>
    <t xml:space="preserve">485.30</t>
  </si>
  <si>
    <t xml:space="preserve">Book Number</t>
  </si>
  <si>
    <t xml:space="preserve">Booked by</t>
  </si>
  <si>
    <t xml:space="preserve">Guest Name(s)</t>
  </si>
  <si>
    <t xml:space="preserve">Check-in</t>
  </si>
  <si>
    <t xml:space="preserve">Check-out</t>
  </si>
  <si>
    <t xml:space="preserve">Booked on</t>
  </si>
  <si>
    <t xml:space="preserve">Status</t>
  </si>
  <si>
    <t xml:space="preserve">Rooms</t>
  </si>
  <si>
    <t xml:space="preserve">People</t>
  </si>
  <si>
    <t xml:space="preserve">Adults</t>
  </si>
  <si>
    <t xml:space="preserve">Children</t>
  </si>
  <si>
    <t xml:space="preserve">Children's age(s)</t>
  </si>
  <si>
    <t xml:space="preserve">Price</t>
  </si>
  <si>
    <t xml:space="preserve">Commission %</t>
  </si>
  <si>
    <t xml:space="preserve">Commission Amount</t>
  </si>
  <si>
    <t xml:space="preserve">Payment Status</t>
  </si>
  <si>
    <t xml:space="preserve">Payment method (payment provider)</t>
  </si>
  <si>
    <t xml:space="preserve">Remarks</t>
  </si>
  <si>
    <t xml:space="preserve">Booker group</t>
  </si>
  <si>
    <t xml:space="preserve">Booker country</t>
  </si>
  <si>
    <t xml:space="preserve">Travel purpose</t>
  </si>
  <si>
    <t xml:space="preserve">Device</t>
  </si>
  <si>
    <t xml:space="preserve">Unit type</t>
  </si>
  <si>
    <t xml:space="preserve">Duration (nights)</t>
  </si>
  <si>
    <t xml:space="preserve">Cancellation date</t>
  </si>
  <si>
    <t xml:space="preserve">Address</t>
  </si>
  <si>
    <t xml:space="preserve">Phone number</t>
  </si>
  <si>
    <t xml:space="preserve">Luana, Paulino</t>
  </si>
  <si>
    <t xml:space="preserve">Paulino Luana</t>
  </si>
  <si>
    <t xml:space="preserve">2025-04-05</t>
  </si>
  <si>
    <t xml:space="preserve">2025-04-09</t>
  </si>
  <si>
    <t xml:space="preserve">2025-02-17 21:46:10</t>
  </si>
  <si>
    <t xml:space="preserve">ok</t>
  </si>
  <si>
    <t xml:space="preserve">Paid online</t>
  </si>
  <si>
    <t xml:space="preserve">br</t>
  </si>
  <si>
    <t xml:space="preserve">Leisure</t>
  </si>
  <si>
    <t xml:space="preserve">Mobile</t>
  </si>
  <si>
    <t xml:space="preserve">One-Bedroom Apartment</t>
  </si>
  <si>
    <t xml:space="preserve">Fabio, Jeane</t>
  </si>
  <si>
    <t xml:space="preserve">Jeane Fabio</t>
  </si>
  <si>
    <t xml:space="preserve">2025-04-13</t>
  </si>
  <si>
    <t xml:space="preserve">2025-03-28 08:52:13</t>
  </si>
  <si>
    <t xml:space="preserve">Business</t>
  </si>
  <si>
    <t xml:space="preserve">Rua Riachuelo 545</t>
  </si>
  <si>
    <t xml:space="preserve">Sapelli, Dani</t>
  </si>
  <si>
    <t xml:space="preserve">Dani Sapelli</t>
  </si>
  <si>
    <t xml:space="preserve">2025-04-16</t>
  </si>
  <si>
    <t xml:space="preserve">2025-04-07 15:41:10</t>
  </si>
  <si>
    <t xml:space="preserve">cancelled_by_guest</t>
  </si>
  <si>
    <t xml:space="preserve">2025-04-08 15:17:09</t>
  </si>
  <si>
    <t xml:space="preserve">rua bom jesus de iguape, 5415</t>
  </si>
  <si>
    <t xml:space="preserve">Vitorino, Felipe</t>
  </si>
  <si>
    <t xml:space="preserve">Felipe Vitorino</t>
  </si>
  <si>
    <t xml:space="preserve">2025-04-27</t>
  </si>
  <si>
    <t xml:space="preserve">2025-04-29</t>
  </si>
  <si>
    <t xml:space="preserve">2025-04-24 15:58:07</t>
  </si>
  <si>
    <t xml:space="preserve">2025-04-24 23:39:16</t>
  </si>
  <si>
    <t xml:space="preserve">Rua Republica do Peru, 327</t>
  </si>
  <si>
    <t xml:space="preserve">Reservation number</t>
  </si>
  <si>
    <t xml:space="preserve">Invoice number</t>
  </si>
  <si>
    <t xml:space="preserve">Arrival</t>
  </si>
  <si>
    <t xml:space="preserve">Departure</t>
  </si>
  <si>
    <t xml:space="preserve">Booker name</t>
  </si>
  <si>
    <t xml:space="preserve">Guest name</t>
  </si>
  <si>
    <t xml:space="preserve">Persons</t>
  </si>
  <si>
    <t xml:space="preserve">Room nights</t>
  </si>
  <si>
    <t xml:space="preserve">Original amount</t>
  </si>
  <si>
    <t xml:space="preserve">Final amount</t>
  </si>
  <si>
    <t xml:space="preserve">Commission amount</t>
  </si>
  <si>
    <t xml:space="preserve">Guest request</t>
  </si>
  <si>
    <t xml:space="preserve">Currency</t>
  </si>
  <si>
    <t xml:space="preserve">Hotel id</t>
  </si>
  <si>
    <t xml:space="preserve">Property name</t>
  </si>
  <si>
    <t xml:space="preserve">City</t>
  </si>
  <si>
    <t xml:space="preserve">Country</t>
  </si>
  <si>
    <t xml:space="preserve">4330982423</t>
  </si>
  <si>
    <t xml:space="preserve">19924068</t>
  </si>
  <si>
    <t xml:space="preserve">2025-05-16T03:30:50</t>
  </si>
  <si>
    <t xml:space="preserve">2025-05-25</t>
  </si>
  <si>
    <t xml:space="preserve">2025-05-30</t>
  </si>
  <si>
    <t xml:space="preserve">Alcimar Olavo</t>
  </si>
  <si>
    <t xml:space="preserve">1</t>
  </si>
  <si>
    <t xml:space="preserve">2</t>
  </si>
  <si>
    <t xml:space="preserve">5</t>
  </si>
  <si>
    <t xml:space="preserve">13.00</t>
  </si>
  <si>
    <t xml:space="preserve">OK</t>
  </si>
  <si>
    <t xml:space="preserve">13603631</t>
  </si>
  <si>
    <t xml:space="preserve">Copan Incrível, totalmente novo, andar alto, vista e pôr-do-sol, design, arquitetura, home office, Smart TV 70", Wi-Fi e ar condicionado</t>
  </si>
  <si>
    <t xml:space="preserve">São Paulo</t>
  </si>
  <si>
    <t xml:space="preserve">Brazil</t>
  </si>
  <si>
    <t xml:space="preserve">Antunes Silva, Abraao</t>
  </si>
  <si>
    <t xml:space="preserve">Abraao Antunes Silva</t>
  </si>
  <si>
    <t xml:space="preserve">2025-06-08</t>
  </si>
  <si>
    <t xml:space="preserve">2025-06-09</t>
  </si>
  <si>
    <t xml:space="preserve">2025-05-14 22:05:19</t>
  </si>
  <si>
    <t xml:space="preserve">330 BRL</t>
  </si>
  <si>
    <t xml:space="preserve">42.9 BRL</t>
  </si>
  <si>
    <t xml:space="preserve">Rua Irene Naresi De Morais</t>
  </si>
  <si>
    <t xml:space="preserve">Cabral, Joyce</t>
  </si>
  <si>
    <t xml:space="preserve">Joyce Cabral</t>
  </si>
  <si>
    <t xml:space="preserve">2025-06-11</t>
  </si>
  <si>
    <t xml:space="preserve">2025-06-13</t>
  </si>
  <si>
    <t xml:space="preserve">2025-05-24 20:32:45</t>
  </si>
  <si>
    <t xml:space="preserve">510 BRL</t>
  </si>
  <si>
    <t xml:space="preserve">66.3 BRL</t>
  </si>
  <si>
    <t xml:space="preserve">Rua Adherbal Stresser</t>
  </si>
  <si>
    <t xml:space="preserve">Winkler, Beat</t>
  </si>
  <si>
    <t xml:space="preserve">Beat Winkler</t>
  </si>
  <si>
    <t xml:space="preserve">2025-08-21</t>
  </si>
  <si>
    <t xml:space="preserve">2025-08-23</t>
  </si>
  <si>
    <t xml:space="preserve">2025-08-10 10:25:10</t>
  </si>
  <si>
    <t xml:space="preserve">630 BRL</t>
  </si>
  <si>
    <t xml:space="preserve">81.9 BRL</t>
  </si>
  <si>
    <t xml:space="preserve">Desktop</t>
  </si>
  <si>
    <t xml:space="preserve">rua professor miguel msuricio da rocha 840b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</si>
</sst>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mmm"/>
    <numFmt numFmtId="166" formatCode="0%"/>
    <numFmt numFmtId="167" formatCode="#,##0"/>
    <numFmt numFmtId="168" formatCode="#,##0_);[RED]\(#,##0\)"/>
    <numFmt numFmtId="169" formatCode="dd/mm/yy"/>
    <numFmt numFmtId="170" formatCode="0.0"/>
    <numFmt numFmtId="171" formatCode="0.00%"/>
    <numFmt numFmtId="172" formatCode="#,##0.00"/>
    <numFmt numFmtId="173" formatCode="_-&quot;R$ &quot;* #,##0.00_-;&quot;-R$ &quot;* #,##0.00_-;_-&quot;R$ &quot;* \-??_-;_-@_-"/>
    <numFmt numFmtId="174" formatCode="mmm/yy"/>
    <numFmt numFmtId="17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Calibri"/>
      <family val="2"/>
      <charset val="1"/>
    </font>
    <font>
      <sz val="10"/>
      <name val="Times New Roman"/>
      <family val="1"/>
      <charset val="1"/>
    </font>
    <font>
      <b val="true"/>
      <u val="single"/>
      <sz val="10"/>
      <name val="Calibri"/>
      <family val="2"/>
      <charset val="1"/>
    </font>
    <font>
      <u val="single"/>
      <sz val="10"/>
      <name val="Times New Roman"/>
      <family val="1"/>
      <charset val="1"/>
    </font>
    <font>
      <b val="true"/>
      <u val="single"/>
      <sz val="10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0"/>
      <charset val="1"/>
    </font>
    <font>
      <sz val="11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theme="1" tint="0.4999"/>
        <bgColor rgb="FF969696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5CE"/>
      </patternFill>
    </fill>
    <fill>
      <patternFill patternType="solid">
        <fgColor rgb="FFFFF5CE"/>
        <bgColor rgb="FFFFFFFF"/>
      </patternFill>
    </fill>
    <fill>
      <patternFill patternType="solid">
        <fgColor rgb="FFFFBF00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11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10" fillId="3" borderId="1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3" fontId="0" fillId="0" borderId="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0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5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7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1" fillId="3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3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S15" activeCellId="0" sqref="S15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3.03"/>
    <col collapsed="false" customWidth="true" hidden="false" outlineLevel="0" max="2" min="2" style="1" width="23.66"/>
    <col collapsed="false" customWidth="true" hidden="true" outlineLevel="0" max="3" min="3" style="2" width="10.57"/>
    <col collapsed="false" customWidth="false" hidden="true" outlineLevel="0" max="4" min="4" style="1" width="11.5"/>
    <col collapsed="false" customWidth="true" hidden="false" outlineLevel="0" max="5" min="5" style="1" width="10.62"/>
    <col collapsed="false" customWidth="true" hidden="false" outlineLevel="0" max="6" min="6" style="1" width="7.33"/>
    <col collapsed="false" customWidth="true" hidden="false" outlineLevel="0" max="7" min="7" style="1" width="8.34"/>
    <col collapsed="false" customWidth="true" hidden="false" outlineLevel="0" max="8" min="8" style="1" width="7.33"/>
    <col collapsed="false" customWidth="true" hidden="false" outlineLevel="0" max="9" min="9" style="1" width="6.45"/>
    <col collapsed="false" customWidth="true" hidden="false" outlineLevel="0" max="11" min="10" style="1" width="7.33"/>
    <col collapsed="false" customWidth="true" hidden="false" outlineLevel="0" max="12" min="12" style="1" width="6.45"/>
    <col collapsed="false" customWidth="true" hidden="false" outlineLevel="0" max="13" min="13" style="1" width="15.02"/>
    <col collapsed="false" customWidth="true" hidden="false" outlineLevel="0" max="14" min="14" style="1" width="8.97"/>
    <col collapsed="false" customWidth="true" hidden="false" outlineLevel="0" max="16" min="15" style="1" width="7.33"/>
    <col collapsed="false" customWidth="true" hidden="false" outlineLevel="0" max="17" min="17" style="1" width="7.72"/>
    <col collapsed="false" customWidth="true" hidden="false" outlineLevel="0" max="18" min="18" style="1" width="9.74"/>
    <col collapsed="false" customWidth="true" hidden="false" outlineLevel="0" max="19" min="19" style="1" width="8.35"/>
    <col collapsed="false" customWidth="true" hidden="false" outlineLevel="0" max="20" min="20" style="1" width="7.33"/>
    <col collapsed="false" customWidth="true" hidden="false" outlineLevel="0" max="21" min="21" style="1" width="11.38"/>
    <col collapsed="false" customWidth="true" hidden="false" outlineLevel="0" max="22" min="22" style="1" width="12.1"/>
    <col collapsed="false" customWidth="true" hidden="false" outlineLevel="0" max="23" min="23" style="1" width="14.04"/>
  </cols>
  <sheetData>
    <row r="1" customFormat="false" ht="13.8" hidden="false" customHeight="false" outlineLevel="0" collapsed="false">
      <c r="B1" s="3"/>
      <c r="C1" s="2" t="n">
        <v>2025</v>
      </c>
      <c r="D1" s="2"/>
      <c r="E1" s="4"/>
      <c r="F1" s="2"/>
      <c r="G1" s="2"/>
      <c r="H1" s="2"/>
      <c r="I1" s="2"/>
      <c r="J1" s="2"/>
      <c r="K1" s="2"/>
      <c r="L1" s="2"/>
      <c r="M1" s="2"/>
      <c r="N1" s="2" t="n">
        <v>2026</v>
      </c>
      <c r="O1" s="2"/>
      <c r="P1" s="2"/>
      <c r="Q1" s="2"/>
      <c r="R1" s="2"/>
      <c r="S1" s="2"/>
      <c r="T1" s="2"/>
      <c r="U1" s="2"/>
    </row>
    <row r="2" customFormat="false" ht="13.8" hidden="false" customHeight="false" outlineLevel="0" collapsed="false">
      <c r="B2" s="5" t="s">
        <v>0</v>
      </c>
      <c r="C2" s="2" t="n">
        <v>31</v>
      </c>
      <c r="D2" s="2" t="n">
        <v>30</v>
      </c>
      <c r="E2" s="2" t="n">
        <v>30</v>
      </c>
      <c r="F2" s="2" t="n">
        <v>30</v>
      </c>
      <c r="G2" s="2" t="n">
        <v>31</v>
      </c>
      <c r="H2" s="2" t="n">
        <v>31</v>
      </c>
      <c r="I2" s="2" t="n">
        <v>30</v>
      </c>
      <c r="J2" s="2" t="n">
        <v>31</v>
      </c>
      <c r="K2" s="2" t="n">
        <v>30</v>
      </c>
      <c r="L2" s="2" t="n">
        <v>31</v>
      </c>
      <c r="M2" s="2" t="n">
        <f aca="false">SUM(C2:L2)</f>
        <v>305</v>
      </c>
      <c r="N2" s="2" t="n">
        <v>31</v>
      </c>
      <c r="O2" s="2" t="n">
        <v>28</v>
      </c>
      <c r="P2" s="2" t="n">
        <v>31</v>
      </c>
      <c r="Q2" s="2" t="n">
        <v>30</v>
      </c>
      <c r="R2" s="2" t="n">
        <v>31</v>
      </c>
      <c r="S2" s="2" t="n">
        <v>30</v>
      </c>
      <c r="T2" s="2" t="n">
        <v>31</v>
      </c>
      <c r="U2" s="2" t="n">
        <v>31</v>
      </c>
    </row>
    <row r="3" customFormat="false" ht="13.8" hidden="false" customHeight="false" outlineLevel="0" collapsed="false">
      <c r="B3" s="6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</v>
      </c>
      <c r="Q3" s="7" t="s">
        <v>2</v>
      </c>
      <c r="R3" s="7" t="s">
        <v>3</v>
      </c>
      <c r="S3" s="7" t="s">
        <v>14</v>
      </c>
      <c r="T3" s="7" t="n">
        <v>2027</v>
      </c>
      <c r="U3" s="7" t="s">
        <v>15</v>
      </c>
    </row>
    <row r="4" customFormat="false" ht="13.8" hidden="false" customHeight="false" outlineLevel="0" collapsed="false">
      <c r="B4" s="6" t="s">
        <v>16</v>
      </c>
      <c r="C4" s="8" t="n">
        <f aca="false">C5/C2</f>
        <v>0.645161290322581</v>
      </c>
      <c r="D4" s="8" t="n">
        <f aca="false">D5/D2</f>
        <v>0.466666666666667</v>
      </c>
      <c r="E4" s="8" t="n">
        <f aca="false">E5/E2</f>
        <v>0.933333333333333</v>
      </c>
      <c r="F4" s="8" t="n">
        <f aca="false">F5/F2</f>
        <v>0.733333333333333</v>
      </c>
      <c r="G4" s="8" t="n">
        <f aca="false">G5/G2</f>
        <v>0.741935483870968</v>
      </c>
      <c r="H4" s="8" t="n">
        <f aca="false">H5/H2</f>
        <v>0.967741935483871</v>
      </c>
      <c r="I4" s="8" t="n">
        <f aca="false">I5/I2</f>
        <v>0.9</v>
      </c>
      <c r="J4" s="8" t="n">
        <f aca="false">J5/J2</f>
        <v>0.741935483870968</v>
      </c>
      <c r="K4" s="8" t="n">
        <f aca="false">K5/K2</f>
        <v>0.933333333333333</v>
      </c>
      <c r="L4" s="8" t="n">
        <f aca="false">L5/L2</f>
        <v>0.774193548387097</v>
      </c>
      <c r="M4" s="8" t="n">
        <f aca="false">M5/M2</f>
        <v>0.783606557377049</v>
      </c>
      <c r="N4" s="8" t="n">
        <f aca="false">N5/N2</f>
        <v>0.645161290322581</v>
      </c>
      <c r="O4" s="8" t="n">
        <f aca="false">O5/O2</f>
        <v>0.571428571428571</v>
      </c>
      <c r="P4" s="8" t="n">
        <f aca="false">P5/P2</f>
        <v>0.774193548387097</v>
      </c>
      <c r="Q4" s="8" t="n">
        <f aca="false">Q5/Q2</f>
        <v>0.8</v>
      </c>
      <c r="R4" s="8" t="n">
        <f aca="false">R5/R2</f>
        <v>0.838709677419355</v>
      </c>
      <c r="S4" s="8" t="n">
        <f aca="false">S5/S2</f>
        <v>1</v>
      </c>
      <c r="T4" s="8" t="n">
        <f aca="false">T5/T2</f>
        <v>0.741935483870968</v>
      </c>
      <c r="U4" s="8" t="n">
        <f aca="false">U5/U2</f>
        <v>0.935483870967742</v>
      </c>
    </row>
    <row r="5" customFormat="false" ht="13.8" hidden="false" customHeight="false" outlineLevel="0" collapsed="false">
      <c r="B5" s="5" t="s">
        <v>17</v>
      </c>
      <c r="C5" s="2" t="n">
        <v>20</v>
      </c>
      <c r="D5" s="2" t="n">
        <v>14</v>
      </c>
      <c r="E5" s="2" t="n">
        <v>28</v>
      </c>
      <c r="F5" s="2" t="n">
        <v>22</v>
      </c>
      <c r="G5" s="2" t="n">
        <v>23</v>
      </c>
      <c r="H5" s="2" t="n">
        <f aca="false">2+28</f>
        <v>30</v>
      </c>
      <c r="I5" s="2" t="n">
        <v>27</v>
      </c>
      <c r="J5" s="2" t="n">
        <v>23</v>
      </c>
      <c r="K5" s="2" t="n">
        <v>28</v>
      </c>
      <c r="L5" s="2" t="n">
        <v>24</v>
      </c>
      <c r="M5" s="2" t="n">
        <f aca="false">SUM(C5:L5)</f>
        <v>239</v>
      </c>
      <c r="N5" s="2" t="n">
        <v>20</v>
      </c>
      <c r="O5" s="2" t="n">
        <v>16</v>
      </c>
      <c r="P5" s="2" t="n">
        <v>24</v>
      </c>
      <c r="Q5" s="2" t="n">
        <v>24</v>
      </c>
      <c r="R5" s="2" t="n">
        <v>26</v>
      </c>
      <c r="S5" s="2" t="n">
        <v>30</v>
      </c>
      <c r="T5" s="2" t="n">
        <v>23</v>
      </c>
      <c r="U5" s="2" t="n">
        <v>29</v>
      </c>
    </row>
    <row r="6" customFormat="false" ht="13.8" hidden="false" customHeight="false" outlineLevel="0" collapsed="false">
      <c r="B6" s="5" t="s">
        <v>18</v>
      </c>
      <c r="C6" s="2" t="n">
        <v>8</v>
      </c>
      <c r="D6" s="2" t="n">
        <v>5</v>
      </c>
      <c r="E6" s="2" t="n">
        <v>11</v>
      </c>
      <c r="F6" s="2" t="n">
        <v>11</v>
      </c>
      <c r="G6" s="2" t="n">
        <v>6</v>
      </c>
      <c r="H6" s="2" t="n">
        <v>10</v>
      </c>
      <c r="I6" s="2" t="n">
        <v>6</v>
      </c>
      <c r="J6" s="2" t="n">
        <v>7</v>
      </c>
      <c r="K6" s="2" t="n">
        <v>8</v>
      </c>
      <c r="L6" s="2" t="n">
        <v>6</v>
      </c>
      <c r="M6" s="2" t="n">
        <f aca="false">SUM(C6:L6)</f>
        <v>78</v>
      </c>
      <c r="N6" s="2" t="n">
        <v>7</v>
      </c>
      <c r="O6" s="2" t="n">
        <v>7</v>
      </c>
      <c r="P6" s="2" t="n">
        <v>8</v>
      </c>
      <c r="Q6" s="2" t="n">
        <v>10</v>
      </c>
      <c r="R6" s="2" t="n">
        <v>10</v>
      </c>
      <c r="S6" s="2" t="n">
        <f aca="false">1200/150</f>
        <v>8</v>
      </c>
      <c r="T6" s="2" t="n">
        <f aca="false">1200/150</f>
        <v>8</v>
      </c>
      <c r="U6" s="2" t="n">
        <v>7</v>
      </c>
    </row>
    <row r="7" customFormat="false" ht="13.8" hidden="false" customHeight="false" outlineLevel="0" collapsed="false">
      <c r="B7" s="5" t="s">
        <v>19</v>
      </c>
      <c r="C7" s="9" t="n">
        <f aca="false">SUM(C10:C13)/C5</f>
        <v>273.926</v>
      </c>
      <c r="D7" s="9" t="n">
        <f aca="false">SUM(D10:D13)/D5</f>
        <v>329.927857142857</v>
      </c>
      <c r="E7" s="9" t="n">
        <f aca="false">SUM(E10:E13)/E5</f>
        <v>217.891785714286</v>
      </c>
      <c r="F7" s="9" t="n">
        <f aca="false">SUM(F10:F13)/F5</f>
        <v>272.356818181818</v>
      </c>
      <c r="G7" s="9" t="n">
        <f aca="false">SUM(G10:G13)/G5</f>
        <v>252.342173913043</v>
      </c>
      <c r="H7" s="9" t="n">
        <f aca="false">SUM(H10:H13)/H5</f>
        <v>260.641</v>
      </c>
      <c r="I7" s="9" t="n">
        <f aca="false">SUM(I10:I13)/I5</f>
        <v>263.342962962963</v>
      </c>
      <c r="J7" s="9" t="n">
        <f aca="false">SUM(J10:J13)/J5</f>
        <v>290.558695652174</v>
      </c>
      <c r="K7" s="9" t="n">
        <f aca="false">SUM(K10:K13)/K5</f>
        <v>255.599642857143</v>
      </c>
      <c r="L7" s="9" t="n">
        <f aca="false">SUM(L10:L13)/L5</f>
        <v>299.346666666667</v>
      </c>
      <c r="M7" s="9" t="n">
        <f aca="false">SUM(M10:M13)/M5</f>
        <v>231.755606694561</v>
      </c>
      <c r="N7" s="9" t="n">
        <f aca="false">SUM(N10:N13)/N5</f>
        <v>254.0795</v>
      </c>
      <c r="O7" s="9" t="n">
        <f aca="false">SUM(O10:O13)/O5</f>
        <v>271.426875</v>
      </c>
      <c r="P7" s="9" t="n">
        <f aca="false">SUM(P10:P13)/P5</f>
        <v>290.2375</v>
      </c>
      <c r="Q7" s="9" t="n">
        <f aca="false">SUM(Q10:Q13)/Q5</f>
        <v>260.016666666667</v>
      </c>
      <c r="R7" s="9" t="n">
        <f aca="false">SUM(R10:R13)/R5</f>
        <v>281.385384615385</v>
      </c>
      <c r="S7" s="9" t="n">
        <f aca="false">SUM(S10:S13)/S5</f>
        <v>237.2</v>
      </c>
      <c r="T7" s="9" t="n">
        <f aca="false">SUM(T10:T13)/T5</f>
        <v>265.624347826087</v>
      </c>
      <c r="U7" s="9" t="n">
        <f aca="false">SUM(U10:U13)/U5</f>
        <v>249.807931034483</v>
      </c>
    </row>
    <row r="8" customFormat="false" ht="13.8" hidden="false" customHeight="false" outlineLevel="0" collapsed="false">
      <c r="B8" s="5" t="s">
        <v>20</v>
      </c>
      <c r="C8" s="10" t="n">
        <f aca="false">(C10+C11+C13+C14+C16)/C5</f>
        <v>196.482</v>
      </c>
      <c r="D8" s="10" t="n">
        <f aca="false">(D10+D11+D13+D14+D16)/D5</f>
        <v>254.156428571429</v>
      </c>
      <c r="E8" s="10" t="n">
        <f aca="false">(E10+E11+E13+E14+E16)/E5</f>
        <v>177.300357142857</v>
      </c>
      <c r="F8" s="10" t="n">
        <f aca="false">(F10+F11+F13+F14+F16)/F5</f>
        <v>192.393181818182</v>
      </c>
      <c r="G8" s="10" t="n">
        <f aca="false">(G10+G11+G13+G14+G16)/G5</f>
        <v>213.211739130435</v>
      </c>
      <c r="H8" s="10" t="n">
        <f aca="false">(H10+H11+H13+H14+H16)/H5</f>
        <v>207.911</v>
      </c>
      <c r="I8" s="10" t="n">
        <f aca="false">(I10+I11+I13+I14+I16)/I5</f>
        <v>230.00962962963</v>
      </c>
      <c r="J8" s="10" t="n">
        <f aca="false">(J10+J11+J13+J14+J16)/J5</f>
        <v>244.90652173913</v>
      </c>
      <c r="K8" s="10" t="n">
        <f aca="false">(K10+K11+K13+K14+K16)/K5</f>
        <v>212.7425</v>
      </c>
      <c r="L8" s="10" t="n">
        <f aca="false">(L10+L11+L13+L14+L16)/L5</f>
        <v>261.846666666667</v>
      </c>
      <c r="M8" s="10" t="n">
        <f aca="false">(M10+M11+M13+M14+M16)/M5</f>
        <v>182.801631799163</v>
      </c>
      <c r="N8" s="10" t="n">
        <f aca="false">(N10+N11+N13+N14+N16)/N5</f>
        <v>201.5795</v>
      </c>
      <c r="O8" s="10" t="n">
        <f aca="false">(O10+O11+O13+O14+O16)/O5</f>
        <v>205.801875</v>
      </c>
      <c r="P8" s="10" t="n">
        <f aca="false">(P10+P11+P13+P14+P16)/P5</f>
        <v>240.2375</v>
      </c>
      <c r="Q8" s="10" t="n">
        <f aca="false">(Q10+Q11+Q13+Q14+Q16)/Q5</f>
        <v>197.516666666667</v>
      </c>
      <c r="R8" s="10" t="n">
        <f aca="false">(R10+R11+R13+R14+R16)/R5</f>
        <v>223.693076923077</v>
      </c>
      <c r="S8" s="10" t="n">
        <f aca="false">(S10+S11+S13+S14+S16)/S5</f>
        <v>192.2</v>
      </c>
      <c r="T8" s="10" t="n">
        <f aca="false">(T10+T11+T13+T14+T16)/T5</f>
        <v>213.450434782609</v>
      </c>
      <c r="U8" s="10" t="n">
        <f aca="false">(U10+U11+U13+U14+U16)/U5</f>
        <v>213.601034482759</v>
      </c>
    </row>
    <row r="9" customFormat="false" ht="13.8" hidden="true" customHeight="false" outlineLevel="0" collapsed="false">
      <c r="B9" s="5" t="s">
        <v>21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/>
      <c r="N9" s="10" t="n">
        <v>0</v>
      </c>
      <c r="O9" s="10" t="n">
        <v>0</v>
      </c>
      <c r="P9" s="10"/>
      <c r="Q9" s="10"/>
      <c r="R9" s="10" t="n">
        <v>0</v>
      </c>
      <c r="S9" s="10"/>
      <c r="T9" s="10"/>
      <c r="U9" s="10"/>
    </row>
    <row r="10" customFormat="false" ht="13.8" hidden="false" customHeight="false" outlineLevel="0" collapsed="false">
      <c r="B10" s="5" t="s">
        <v>22</v>
      </c>
      <c r="C10" s="10" t="n">
        <v>2492</v>
      </c>
      <c r="D10" s="10" t="n">
        <v>2220</v>
      </c>
      <c r="E10" s="10" t="n">
        <v>850</v>
      </c>
      <c r="F10" s="10" t="n">
        <v>840</v>
      </c>
      <c r="G10" s="10" t="n">
        <v>0</v>
      </c>
      <c r="H10" s="10" t="n">
        <v>630</v>
      </c>
      <c r="I10" s="10" t="n">
        <v>0</v>
      </c>
      <c r="J10" s="10" t="n">
        <v>0</v>
      </c>
      <c r="K10" s="10" t="n">
        <v>0</v>
      </c>
      <c r="L10" s="10" t="n">
        <v>0</v>
      </c>
      <c r="M10" s="10"/>
      <c r="N10" s="10" t="n">
        <v>0</v>
      </c>
      <c r="O10" s="10" t="n">
        <v>0</v>
      </c>
      <c r="P10" s="10"/>
      <c r="Q10" s="10"/>
      <c r="R10" s="10"/>
      <c r="S10" s="10"/>
      <c r="T10" s="10"/>
      <c r="U10" s="10"/>
    </row>
    <row r="11" customFormat="false" ht="13.8" hidden="false" customHeight="false" outlineLevel="0" collapsed="false">
      <c r="B11" s="5" t="s">
        <v>23</v>
      </c>
      <c r="C11" s="10" t="n">
        <f aca="false">1783.15+319.8+703.57</f>
        <v>2806.52</v>
      </c>
      <c r="D11" s="10" t="n">
        <v>1238.99</v>
      </c>
      <c r="E11" s="10" t="n">
        <v>5064.91</v>
      </c>
      <c r="F11" s="10" t="n">
        <v>5151.85</v>
      </c>
      <c r="G11" s="10" t="n">
        <v>5803.87</v>
      </c>
      <c r="H11" s="10" t="n">
        <v>7189.23</v>
      </c>
      <c r="I11" s="10" t="n">
        <v>7110.26</v>
      </c>
      <c r="J11" s="10" t="n">
        <v>6682.85</v>
      </c>
      <c r="K11" s="10" t="n">
        <v>7156.79</v>
      </c>
      <c r="L11" s="10" t="n">
        <v>7184.32</v>
      </c>
      <c r="M11" s="10" t="n">
        <f aca="false">SUM(C11:L11)</f>
        <v>55389.59</v>
      </c>
      <c r="N11" s="10" t="n">
        <v>5081.59</v>
      </c>
      <c r="O11" s="10" t="n">
        <v>4342.83</v>
      </c>
      <c r="P11" s="10" t="n">
        <f aca="false">SUM(Airbnb_csv!L110:L117)</f>
        <v>6965.7</v>
      </c>
      <c r="Q11" s="10" t="n">
        <f aca="false">SUM(Airbnb_csv!L121:L130)</f>
        <v>6240.4</v>
      </c>
      <c r="R11" s="10" t="n">
        <f aca="false">SUM(Airbnb_csv!L133:L142)</f>
        <v>7316.02</v>
      </c>
      <c r="S11" s="10" t="n">
        <v>7116</v>
      </c>
      <c r="T11" s="10" t="n">
        <f aca="false">SUM(Airbnb_csv!L157:L164)</f>
        <v>6109.36</v>
      </c>
      <c r="U11" s="10" t="n">
        <v>7244.43</v>
      </c>
    </row>
    <row r="12" customFormat="false" ht="13.8" hidden="false" customHeight="false" outlineLevel="0" collapsed="false">
      <c r="B12" s="5" t="s">
        <v>24</v>
      </c>
      <c r="C12" s="10"/>
      <c r="D12" s="10"/>
      <c r="E12" s="10" t="n">
        <f aca="false">-(-4440.97+E11)</f>
        <v>-623.94</v>
      </c>
      <c r="F12" s="10"/>
      <c r="G12" s="10"/>
      <c r="H12" s="10"/>
      <c r="I12" s="10"/>
      <c r="J12" s="10" t="n">
        <v>0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customFormat="false" ht="13.8" hidden="false" customHeight="false" outlineLevel="0" collapsed="false">
      <c r="B13" s="5" t="s">
        <v>25</v>
      </c>
      <c r="C13" s="10" t="n">
        <v>180</v>
      </c>
      <c r="D13" s="10" t="n">
        <f aca="false">370+140+650</f>
        <v>1160</v>
      </c>
      <c r="E13" s="10" t="n">
        <f aca="false">405+405</f>
        <v>810</v>
      </c>
      <c r="F13" s="10" t="n">
        <v>0</v>
      </c>
      <c r="G13" s="10"/>
      <c r="H13" s="10"/>
      <c r="I13" s="10"/>
      <c r="J13" s="10" t="n">
        <v>0</v>
      </c>
      <c r="K13" s="10"/>
      <c r="L13" s="10"/>
      <c r="M13" s="10"/>
      <c r="N13" s="10"/>
      <c r="O13" s="10"/>
      <c r="P13" s="10"/>
      <c r="Q13" s="10"/>
      <c r="R13" s="10" t="n">
        <v>0</v>
      </c>
      <c r="S13" s="10"/>
      <c r="T13" s="10"/>
      <c r="U13" s="10"/>
    </row>
    <row r="14" customFormat="false" ht="13.8" hidden="false" customHeight="false" outlineLevel="0" collapsed="false">
      <c r="B14" s="5" t="s">
        <v>26</v>
      </c>
      <c r="C14" s="10" t="n">
        <v>-1200</v>
      </c>
      <c r="D14" s="10" t="n">
        <f aca="false">-150*D6</f>
        <v>-750</v>
      </c>
      <c r="E14" s="10" t="n">
        <f aca="false">-150*E6</f>
        <v>-1650</v>
      </c>
      <c r="F14" s="10" t="n">
        <f aca="false">-150*F6</f>
        <v>-1650</v>
      </c>
      <c r="G14" s="10" t="n">
        <f aca="false">-150*G6</f>
        <v>-900</v>
      </c>
      <c r="H14" s="10" t="n">
        <f aca="false">-150*H6</f>
        <v>-1500</v>
      </c>
      <c r="I14" s="10" t="n">
        <f aca="false">-150*I6</f>
        <v>-900</v>
      </c>
      <c r="J14" s="10" t="n">
        <f aca="false">-150*J6</f>
        <v>-1050</v>
      </c>
      <c r="K14" s="10" t="n">
        <f aca="false">-150*K6</f>
        <v>-1200</v>
      </c>
      <c r="L14" s="10" t="n">
        <f aca="false">-150*L6</f>
        <v>-900</v>
      </c>
      <c r="M14" s="10" t="n">
        <f aca="false">SUM(C14:L14)</f>
        <v>-11700</v>
      </c>
      <c r="N14" s="10" t="n">
        <f aca="false">-150*N6</f>
        <v>-1050</v>
      </c>
      <c r="O14" s="10" t="n">
        <f aca="false">-150*O6</f>
        <v>-1050</v>
      </c>
      <c r="P14" s="10" t="n">
        <f aca="false">-150*P6</f>
        <v>-1200</v>
      </c>
      <c r="Q14" s="10" t="n">
        <f aca="false">-150*Q6</f>
        <v>-1500</v>
      </c>
      <c r="R14" s="10" t="n">
        <f aca="false">-SUM(Airbnb_csv!P133:P142)</f>
        <v>-1500</v>
      </c>
      <c r="S14" s="10" t="n">
        <v>-1350</v>
      </c>
      <c r="T14" s="10" t="n">
        <v>-1200</v>
      </c>
      <c r="U14" s="10" t="n">
        <f aca="false">-7*150</f>
        <v>-1050</v>
      </c>
    </row>
    <row r="15" customFormat="false" ht="13.8" hidden="false" customHeight="false" outlineLevel="0" collapsed="false">
      <c r="B15" s="5" t="s">
        <v>27</v>
      </c>
      <c r="C15" s="10"/>
      <c r="D15" s="10" t="n">
        <v>0</v>
      </c>
      <c r="E15" s="10"/>
      <c r="F15" s="10" t="n">
        <v>0</v>
      </c>
      <c r="G15" s="10"/>
      <c r="H15" s="10"/>
      <c r="I15" s="10"/>
      <c r="J15" s="10" t="n">
        <v>0</v>
      </c>
      <c r="K15" s="10"/>
      <c r="L15" s="10"/>
      <c r="M15" s="10"/>
      <c r="N15" s="10"/>
      <c r="O15" s="10"/>
      <c r="P15" s="10"/>
      <c r="Q15" s="10"/>
      <c r="R15" s="10" t="n">
        <v>0</v>
      </c>
      <c r="S15" s="10"/>
      <c r="T15" s="10"/>
      <c r="U15" s="10"/>
    </row>
    <row r="16" customFormat="false" ht="13.8" hidden="false" customHeight="false" outlineLevel="0" collapsed="false">
      <c r="B16" s="5" t="s">
        <v>28</v>
      </c>
      <c r="C16" s="10" t="n">
        <f aca="false">-14%*C10</f>
        <v>-348.88</v>
      </c>
      <c r="D16" s="10" t="n">
        <v>-310.8</v>
      </c>
      <c r="E16" s="10" t="n">
        <v>-110.5</v>
      </c>
      <c r="F16" s="10" t="n">
        <v>-109.2</v>
      </c>
      <c r="G16" s="10" t="n">
        <v>0</v>
      </c>
      <c r="H16" s="10" t="n">
        <v>-81.9</v>
      </c>
      <c r="I16" s="10" t="n">
        <v>0</v>
      </c>
      <c r="J16" s="10" t="n">
        <v>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customFormat="false" ht="13.8" hidden="false" customHeight="false" outlineLevel="0" collapsed="false">
      <c r="B17" s="5" t="s">
        <v>29</v>
      </c>
      <c r="C17" s="10" t="n">
        <f aca="false">-0.1*SUM(C10:C13)</f>
        <v>-547.852</v>
      </c>
      <c r="D17" s="10" t="n">
        <f aca="false">-0.1*SUM(D10:D13)</f>
        <v>-461.899</v>
      </c>
      <c r="E17" s="10" t="n">
        <f aca="false">-0.1*SUM(E10:E13)</f>
        <v>-610.097</v>
      </c>
      <c r="F17" s="10" t="n">
        <f aca="false">-0.1*SUM(F10:F13)</f>
        <v>-599.185</v>
      </c>
      <c r="G17" s="10" t="n">
        <f aca="false">-0.1*SUM(G10:G13,E12)</f>
        <v>-517.993</v>
      </c>
      <c r="H17" s="10" t="n">
        <f aca="false">-0.1*SUM(H10:H13,F12)</f>
        <v>-781.923</v>
      </c>
      <c r="I17" s="10" t="n">
        <f aca="false">-0.1*SUM(I10:I13)</f>
        <v>-711.026</v>
      </c>
      <c r="J17" s="10" t="n">
        <f aca="false">-0.1*SUM(J10:J13)</f>
        <v>-668.285</v>
      </c>
      <c r="K17" s="10" t="n">
        <f aca="false">-0.1*SUM(K10:K13)</f>
        <v>-715.679</v>
      </c>
      <c r="L17" s="10" t="n">
        <f aca="false">-0.1*SUM(L10:L13)</f>
        <v>-718.432</v>
      </c>
      <c r="M17" s="10" t="n">
        <f aca="false">SUM(C17:L17)</f>
        <v>-6332.371</v>
      </c>
      <c r="N17" s="10" t="n">
        <f aca="false">-0.1*SUM(N10:N13)</f>
        <v>-508.159</v>
      </c>
      <c r="O17" s="10" t="n">
        <f aca="false">-0.1*SUM(O10:O13)</f>
        <v>-434.283</v>
      </c>
      <c r="P17" s="10" t="n">
        <f aca="false">-0.1*SUM(P10:P13)</f>
        <v>-696.57</v>
      </c>
      <c r="Q17" s="10" t="n">
        <f aca="false">-0.1*SUM(Q10:Q13)</f>
        <v>-624.04</v>
      </c>
      <c r="R17" s="10" t="n">
        <f aca="false">-0.1*SUM(R10:R13)</f>
        <v>-731.602</v>
      </c>
      <c r="S17" s="10" t="n">
        <f aca="false">-0.1*SUM(S10:S13)</f>
        <v>-711.6</v>
      </c>
      <c r="T17" s="10" t="n">
        <f aca="false">-0.1*SUM(T10:T13)</f>
        <v>-610.936</v>
      </c>
      <c r="U17" s="10" t="n">
        <f aca="false">-0.1*SUM(U10:U13)</f>
        <v>-724.443</v>
      </c>
    </row>
    <row r="18" customFormat="false" ht="13.8" hidden="false" customHeight="false" outlineLevel="0" collapsed="false">
      <c r="B18" s="5" t="s">
        <v>30</v>
      </c>
      <c r="C18" s="10"/>
      <c r="D18" s="10" t="n">
        <v>0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</row>
    <row r="19" customFormat="false" ht="13.8" hidden="false" customHeight="false" outlineLevel="0" collapsed="false">
      <c r="B19" s="5" t="s">
        <v>31</v>
      </c>
      <c r="C19" s="10"/>
      <c r="D19" s="10" t="n">
        <v>0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customFormat="false" ht="13.8" hidden="false" customHeight="false" outlineLevel="0" collapsed="false">
      <c r="B20" s="11" t="s">
        <v>32</v>
      </c>
      <c r="C20" s="12" t="n">
        <f aca="false">SUM(C9:C19)</f>
        <v>3381.788</v>
      </c>
      <c r="D20" s="12" t="n">
        <f aca="false">SUM(D9:D19)</f>
        <v>3096.291</v>
      </c>
      <c r="E20" s="12" t="n">
        <f aca="false">SUM(E9:E19)</f>
        <v>3730.373</v>
      </c>
      <c r="F20" s="12" t="n">
        <f aca="false">SUM(F9:F19)</f>
        <v>3633.465</v>
      </c>
      <c r="G20" s="12" t="n">
        <f aca="false">SUM(G9:G19)</f>
        <v>4385.877</v>
      </c>
      <c r="H20" s="12" t="n">
        <f aca="false">SUM(H9:H19)</f>
        <v>5455.407</v>
      </c>
      <c r="I20" s="12" t="n">
        <f aca="false">SUM(I9:I19)</f>
        <v>5499.234</v>
      </c>
      <c r="J20" s="12" t="n">
        <f aca="false">SUM(J9:J19)</f>
        <v>4964.565</v>
      </c>
      <c r="K20" s="12" t="n">
        <f aca="false">SUM(K9:K19)</f>
        <v>5241.111</v>
      </c>
      <c r="L20" s="12" t="n">
        <f aca="false">SUM(L9:L19)</f>
        <v>5565.888</v>
      </c>
      <c r="M20" s="12" t="n">
        <f aca="false">SUM(C20:L20)</f>
        <v>44953.999</v>
      </c>
      <c r="N20" s="12" t="n">
        <f aca="false">SUM(N9:N19)</f>
        <v>3523.431</v>
      </c>
      <c r="O20" s="12" t="n">
        <f aca="false">SUM(O9:O19)</f>
        <v>2858.547</v>
      </c>
      <c r="P20" s="12" t="n">
        <f aca="false">SUM(P9:P19)</f>
        <v>5069.13</v>
      </c>
      <c r="Q20" s="12" t="n">
        <f aca="false">SUM(Q9:Q19)</f>
        <v>4116.36</v>
      </c>
      <c r="R20" s="12" t="n">
        <f aca="false">SUM(R9:R19)</f>
        <v>5084.418</v>
      </c>
      <c r="S20" s="12" t="n">
        <f aca="false">SUM(S9:S19)</f>
        <v>5054.4</v>
      </c>
      <c r="T20" s="12" t="n">
        <f aca="false">SUM(T9:T19)</f>
        <v>4298.424</v>
      </c>
      <c r="U20" s="12" t="n">
        <f aca="false">SUM(U9:U19)</f>
        <v>5469.987</v>
      </c>
    </row>
    <row r="21" customFormat="false" ht="13.8" hidden="false" customHeight="false" outlineLevel="0" collapsed="false">
      <c r="B21" s="13"/>
      <c r="D21" s="14"/>
      <c r="E21" s="15"/>
      <c r="R21" s="16" t="n">
        <f aca="false">R20/E20-1</f>
        <v>0.362978447463564</v>
      </c>
      <c r="S21" s="16" t="n">
        <f aca="false">S20/F20-1</f>
        <v>0.391068855761649</v>
      </c>
      <c r="T21" s="16" t="n">
        <f aca="false">T20/G20-1</f>
        <v>-0.0199396836710194</v>
      </c>
      <c r="U21" s="16" t="n">
        <f aca="false">U20/H20-1</f>
        <v>0.00267257786632591</v>
      </c>
    </row>
    <row r="22" customFormat="false" ht="13.8" hidden="false" customHeight="false" outlineLevel="0" collapsed="false">
      <c r="B22" s="13"/>
      <c r="D22" s="14"/>
      <c r="E22" s="15"/>
    </row>
    <row r="23" customFormat="false" ht="13.8" hidden="false" customHeight="false" outlineLevel="0" collapsed="false">
      <c r="B23" s="17" t="s">
        <v>33</v>
      </c>
      <c r="D23" s="14"/>
      <c r="E23" s="15"/>
    </row>
    <row r="24" customFormat="false" ht="13.8" hidden="false" customHeight="false" outlineLevel="0" collapsed="false">
      <c r="B24" s="3"/>
      <c r="C24" s="4" t="s">
        <v>34</v>
      </c>
      <c r="D24" s="14" t="s">
        <v>35</v>
      </c>
      <c r="E24" s="15" t="s">
        <v>36</v>
      </c>
      <c r="S24" s="1" t="n">
        <f aca="false">S17/2</f>
        <v>-355.8</v>
      </c>
      <c r="U24" s="18" t="n">
        <f aca="false">U17/2</f>
        <v>-362.2215</v>
      </c>
    </row>
    <row r="25" customFormat="false" ht="13.8" hidden="false" customHeight="false" outlineLevel="0" collapsed="false">
      <c r="B25" s="13" t="n">
        <v>45769</v>
      </c>
      <c r="C25" s="13" t="n">
        <v>45769</v>
      </c>
      <c r="D25" s="3" t="n">
        <v>370</v>
      </c>
      <c r="E25" s="3" t="n">
        <v>0</v>
      </c>
    </row>
    <row r="26" customFormat="false" ht="13.8" hidden="false" customHeight="false" outlineLevel="0" collapsed="false">
      <c r="B26" s="13" t="n">
        <v>45765</v>
      </c>
      <c r="C26" s="13" t="n">
        <v>45765</v>
      </c>
      <c r="D26" s="3" t="n">
        <v>140</v>
      </c>
      <c r="E26" s="3" t="n">
        <v>0</v>
      </c>
      <c r="P26" s="19"/>
    </row>
    <row r="27" customFormat="false" ht="13.8" hidden="false" customHeight="false" outlineLevel="0" collapsed="false">
      <c r="B27" s="13" t="n">
        <v>45772</v>
      </c>
      <c r="C27" s="20" t="n">
        <v>45774</v>
      </c>
      <c r="D27" s="14" t="n">
        <v>650</v>
      </c>
      <c r="E27" s="15" t="n">
        <v>-150</v>
      </c>
    </row>
    <row r="28" customFormat="false" ht="13.8" hidden="false" customHeight="false" outlineLevel="0" collapsed="false">
      <c r="B28" s="13" t="n">
        <v>45799</v>
      </c>
      <c r="C28" s="20" t="n">
        <v>45802</v>
      </c>
      <c r="D28" s="14" t="n">
        <v>810</v>
      </c>
      <c r="E28" s="15" t="n">
        <v>-150</v>
      </c>
    </row>
    <row r="30" customFormat="false" ht="13.8" hidden="false" customHeight="false" outlineLevel="0" collapsed="false">
      <c r="B30" s="15"/>
      <c r="C30" s="4"/>
      <c r="D30" s="15"/>
      <c r="E30" s="15"/>
    </row>
    <row r="31" customFormat="false" ht="13.8" hidden="false" customHeight="false" outlineLevel="0" collapsed="false">
      <c r="B31" s="17"/>
      <c r="C31" s="4"/>
      <c r="D31" s="15"/>
      <c r="E31" s="21"/>
    </row>
    <row r="32" customFormat="false" ht="13.8" hidden="false" customHeight="false" outlineLevel="0" collapsed="false">
      <c r="B32" s="17"/>
      <c r="C32" s="4"/>
      <c r="D32" s="15"/>
      <c r="E32" s="15"/>
    </row>
    <row r="33" customFormat="false" ht="13.8" hidden="false" customHeight="false" outlineLevel="0" collapsed="false">
      <c r="B33" s="22"/>
      <c r="C33" s="4"/>
      <c r="D33" s="15"/>
      <c r="E33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C4" activeCellId="0" sqref="C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" width="58.29"/>
    <col collapsed="false" customWidth="true" hidden="false" outlineLevel="0" max="2" min="2" style="23" width="14"/>
    <col collapsed="false" customWidth="true" hidden="false" outlineLevel="0" max="3" min="3" style="3" width="13.29"/>
    <col collapsed="false" customWidth="true" hidden="false" outlineLevel="0" max="4" min="4" style="3" width="17.57"/>
    <col collapsed="false" customWidth="true" hidden="false" outlineLevel="0" max="7" min="7" style="3" width="22.29"/>
    <col collapsed="false" customWidth="true" hidden="false" outlineLevel="0" max="8" min="8" style="23" width="15"/>
  </cols>
  <sheetData>
    <row r="1" customFormat="false" ht="15" hidden="false" customHeight="false" outlineLevel="0" collapsed="false">
      <c r="A1" s="24" t="s">
        <v>37</v>
      </c>
      <c r="B1" s="24"/>
      <c r="C1" s="24"/>
      <c r="D1" s="24"/>
      <c r="G1" s="25" t="s">
        <v>38</v>
      </c>
      <c r="H1" s="25"/>
      <c r="I1" s="25"/>
    </row>
    <row r="2" customFormat="false" ht="15" hidden="false" customHeight="false" outlineLevel="0" collapsed="false">
      <c r="A2" s="26" t="s">
        <v>39</v>
      </c>
      <c r="B2" s="27" t="s">
        <v>40</v>
      </c>
      <c r="C2" s="26" t="s">
        <v>41</v>
      </c>
      <c r="D2" s="26" t="s">
        <v>42</v>
      </c>
      <c r="H2" s="28" t="n">
        <v>16250</v>
      </c>
      <c r="I2" s="29" t="s">
        <v>43</v>
      </c>
    </row>
    <row r="3" customFormat="false" ht="15" hidden="false" customHeight="false" outlineLevel="0" collapsed="false">
      <c r="A3" s="30" t="s">
        <v>44</v>
      </c>
      <c r="B3" s="30"/>
      <c r="C3" s="30"/>
      <c r="D3" s="30"/>
      <c r="H3" s="31" t="n">
        <v>187.5</v>
      </c>
      <c r="I3" s="32" t="s">
        <v>43</v>
      </c>
    </row>
    <row r="4" customFormat="false" ht="15" hidden="false" customHeight="false" outlineLevel="0" collapsed="false">
      <c r="A4" s="32" t="s">
        <v>45</v>
      </c>
      <c r="B4" s="31" t="n">
        <v>65000</v>
      </c>
      <c r="C4" s="33" t="n">
        <f aca="false">B4/4</f>
        <v>16250</v>
      </c>
      <c r="D4" s="32" t="s">
        <v>43</v>
      </c>
      <c r="H4" s="31" t="n">
        <v>3683.23</v>
      </c>
      <c r="I4" s="32" t="s">
        <v>46</v>
      </c>
    </row>
    <row r="5" customFormat="false" ht="15" hidden="false" customHeight="false" outlineLevel="0" collapsed="false">
      <c r="A5" s="32" t="s">
        <v>47</v>
      </c>
      <c r="B5" s="31" t="n">
        <v>750</v>
      </c>
      <c r="C5" s="33" t="n">
        <f aca="false">B5/4</f>
        <v>187.5</v>
      </c>
      <c r="D5" s="32" t="s">
        <v>48</v>
      </c>
      <c r="H5" s="31" t="n">
        <v>5191.81</v>
      </c>
      <c r="I5" s="32" t="s">
        <v>49</v>
      </c>
    </row>
    <row r="6" customFormat="false" ht="15" hidden="false" customHeight="false" outlineLevel="0" collapsed="false">
      <c r="A6" s="32" t="s">
        <v>50</v>
      </c>
      <c r="B6" s="31" t="n">
        <v>70.44</v>
      </c>
      <c r="C6" s="33" t="n">
        <f aca="false">B6/4</f>
        <v>17.61</v>
      </c>
      <c r="D6" s="32" t="s">
        <v>51</v>
      </c>
      <c r="H6" s="31"/>
      <c r="I6" s="32"/>
    </row>
    <row r="7" customFormat="false" ht="15" hidden="false" customHeight="false" outlineLevel="0" collapsed="false">
      <c r="A7" s="32" t="s">
        <v>52</v>
      </c>
      <c r="B7" s="31" t="n">
        <v>2089.33</v>
      </c>
      <c r="C7" s="33" t="n">
        <f aca="false">B7/4</f>
        <v>522.3325</v>
      </c>
      <c r="D7" s="32" t="s">
        <v>51</v>
      </c>
      <c r="G7" s="34" t="s">
        <v>53</v>
      </c>
      <c r="H7" s="31" t="n">
        <f aca="false">SUM(H2:H6)</f>
        <v>25312.54</v>
      </c>
      <c r="I7" s="32"/>
    </row>
    <row r="8" customFormat="false" ht="15" hidden="false" customHeight="false" outlineLevel="0" collapsed="false">
      <c r="A8" s="32" t="s">
        <v>54</v>
      </c>
      <c r="B8" s="31" t="n">
        <v>10073.16</v>
      </c>
      <c r="C8" s="33" t="n">
        <f aca="false">B8/4</f>
        <v>2518.29</v>
      </c>
      <c r="D8" s="32" t="s">
        <v>55</v>
      </c>
      <c r="G8" s="34" t="s">
        <v>56</v>
      </c>
      <c r="H8" s="31" t="n">
        <f aca="false">C56</f>
        <v>35364.375</v>
      </c>
      <c r="I8" s="32"/>
    </row>
    <row r="9" customFormat="false" ht="15" hidden="false" customHeight="false" outlineLevel="0" collapsed="false">
      <c r="A9" s="32" t="s">
        <v>57</v>
      </c>
      <c r="B9" s="31" t="n">
        <v>5801.15</v>
      </c>
      <c r="C9" s="33" t="n">
        <f aca="false">B9/4</f>
        <v>1450.2875</v>
      </c>
      <c r="D9" s="32" t="s">
        <v>58</v>
      </c>
      <c r="G9" s="34" t="s">
        <v>59</v>
      </c>
      <c r="H9" s="35" t="n">
        <f aca="false">H7-H8</f>
        <v>-10051.835</v>
      </c>
      <c r="I9" s="32"/>
    </row>
    <row r="10" customFormat="false" ht="15" hidden="false" customHeight="false" outlineLevel="0" collapsed="false">
      <c r="A10" s="32" t="s">
        <v>60</v>
      </c>
      <c r="B10" s="31" t="n">
        <v>86.08</v>
      </c>
      <c r="C10" s="33" t="n">
        <f aca="false">B10/4</f>
        <v>21.52</v>
      </c>
      <c r="D10" s="32" t="s">
        <v>58</v>
      </c>
    </row>
    <row r="11" customFormat="false" ht="15" hidden="false" customHeight="false" outlineLevel="0" collapsed="false">
      <c r="A11" s="32" t="s">
        <v>61</v>
      </c>
      <c r="B11" s="31" t="n">
        <v>16600</v>
      </c>
      <c r="C11" s="33" t="n">
        <f aca="false">B11/4</f>
        <v>4150</v>
      </c>
      <c r="D11" s="36" t="s">
        <v>62</v>
      </c>
    </row>
    <row r="12" customFormat="false" ht="15" hidden="false" customHeight="false" outlineLevel="0" collapsed="false">
      <c r="A12" s="32" t="s">
        <v>63</v>
      </c>
      <c r="B12" s="31" t="n">
        <v>780</v>
      </c>
      <c r="C12" s="33" t="n">
        <f aca="false">B12/4</f>
        <v>195</v>
      </c>
      <c r="D12" s="36" t="s">
        <v>62</v>
      </c>
    </row>
    <row r="13" customFormat="false" ht="15" hidden="false" customHeight="false" outlineLevel="0" collapsed="false">
      <c r="A13" s="37" t="s">
        <v>53</v>
      </c>
      <c r="B13" s="38" t="n">
        <f aca="false">SUM(B4:B12)</f>
        <v>101250.16</v>
      </c>
      <c r="C13" s="39" t="n">
        <f aca="false">B13/4</f>
        <v>25312.54</v>
      </c>
      <c r="D13" s="40"/>
    </row>
    <row r="14" customFormat="false" ht="15" hidden="false" customHeight="false" outlineLevel="0" collapsed="false">
      <c r="A14" s="25" t="s">
        <v>64</v>
      </c>
      <c r="B14" s="25"/>
      <c r="C14" s="25"/>
      <c r="D14" s="25"/>
    </row>
    <row r="15" customFormat="false" ht="15" hidden="false" customHeight="false" outlineLevel="0" collapsed="false">
      <c r="A15" s="41" t="n">
        <v>45505</v>
      </c>
      <c r="B15" s="25"/>
      <c r="C15" s="25"/>
      <c r="D15" s="25"/>
    </row>
    <row r="16" customFormat="false" ht="15" hidden="false" customHeight="false" outlineLevel="0" collapsed="false">
      <c r="A16" s="32" t="s">
        <v>65</v>
      </c>
      <c r="B16" s="31" t="n">
        <v>3755.59</v>
      </c>
      <c r="C16" s="33" t="n">
        <f aca="false">B16/4</f>
        <v>938.8975</v>
      </c>
      <c r="D16" s="32" t="s">
        <v>66</v>
      </c>
      <c r="G16" s="3" t="s">
        <v>67</v>
      </c>
      <c r="H16" s="23" t="s">
        <v>68</v>
      </c>
    </row>
    <row r="17" customFormat="false" ht="15" hidden="false" customHeight="false" outlineLevel="0" collapsed="false">
      <c r="A17" s="32" t="s">
        <v>69</v>
      </c>
      <c r="B17" s="31" t="n">
        <f aca="false">SUM(B16)</f>
        <v>3755.59</v>
      </c>
      <c r="C17" s="42" t="n">
        <f aca="false">B17/4</f>
        <v>938.8975</v>
      </c>
      <c r="D17" s="32"/>
      <c r="G17" s="3" t="s">
        <v>70</v>
      </c>
      <c r="H17" s="23" t="s">
        <v>71</v>
      </c>
    </row>
    <row r="18" customFormat="false" ht="15" hidden="false" customHeight="false" outlineLevel="0" collapsed="false">
      <c r="A18" s="41" t="n">
        <v>45536</v>
      </c>
      <c r="B18" s="25"/>
      <c r="C18" s="25"/>
      <c r="D18" s="25"/>
    </row>
    <row r="19" customFormat="false" ht="15" hidden="false" customHeight="false" outlineLevel="0" collapsed="false">
      <c r="A19" s="32" t="s">
        <v>72</v>
      </c>
      <c r="B19" s="31" t="n">
        <v>495.47</v>
      </c>
      <c r="C19" s="33" t="n">
        <f aca="false">B19/4</f>
        <v>123.8675</v>
      </c>
      <c r="D19" s="32" t="s">
        <v>73</v>
      </c>
    </row>
    <row r="20" customFormat="false" ht="15" hidden="false" customHeight="false" outlineLevel="0" collapsed="false">
      <c r="A20" s="32" t="s">
        <v>74</v>
      </c>
      <c r="B20" s="31" t="n">
        <v>0</v>
      </c>
      <c r="C20" s="42" t="n">
        <f aca="false">B20/4</f>
        <v>0</v>
      </c>
      <c r="D20" s="32"/>
    </row>
    <row r="21" customFormat="false" ht="15" hidden="false" customHeight="false" outlineLevel="0" collapsed="false">
      <c r="A21" s="32" t="s">
        <v>65</v>
      </c>
      <c r="B21" s="31" t="n">
        <v>3798.67</v>
      </c>
      <c r="C21" s="33" t="n">
        <f aca="false">B21/4</f>
        <v>949.6675</v>
      </c>
      <c r="D21" s="32" t="s">
        <v>75</v>
      </c>
    </row>
    <row r="22" customFormat="false" ht="15" hidden="false" customHeight="false" outlineLevel="0" collapsed="false">
      <c r="A22" s="41" t="n">
        <v>45566</v>
      </c>
      <c r="B22" s="25"/>
      <c r="C22" s="25"/>
      <c r="D22" s="25"/>
    </row>
    <row r="23" customFormat="false" ht="15" hidden="false" customHeight="false" outlineLevel="0" collapsed="false">
      <c r="A23" s="32"/>
      <c r="B23" s="31"/>
      <c r="C23" s="42"/>
      <c r="D23" s="32"/>
    </row>
    <row r="24" customFormat="false" ht="15" hidden="false" customHeight="false" outlineLevel="0" collapsed="false">
      <c r="A24" s="25" t="s">
        <v>76</v>
      </c>
      <c r="B24" s="25"/>
      <c r="C24" s="25"/>
      <c r="D24" s="25"/>
    </row>
    <row r="25" customFormat="false" ht="15" hidden="false" customHeight="false" outlineLevel="0" collapsed="false">
      <c r="A25" s="37" t="s">
        <v>77</v>
      </c>
      <c r="B25" s="31" t="n">
        <v>14000</v>
      </c>
      <c r="C25" s="42" t="n">
        <f aca="false">B25/4</f>
        <v>3500</v>
      </c>
      <c r="D25" s="32"/>
    </row>
    <row r="26" customFormat="false" ht="15" hidden="false" customHeight="false" outlineLevel="0" collapsed="false">
      <c r="A26" s="32" t="s">
        <v>78</v>
      </c>
      <c r="B26" s="31" t="n">
        <v>2000</v>
      </c>
      <c r="C26" s="33" t="n">
        <f aca="false">B26/4</f>
        <v>500</v>
      </c>
      <c r="D26" s="32" t="s">
        <v>79</v>
      </c>
    </row>
    <row r="27" customFormat="false" ht="15" hidden="false" customHeight="false" outlineLevel="0" collapsed="false">
      <c r="A27" s="32" t="s">
        <v>80</v>
      </c>
      <c r="B27" s="31" t="n">
        <v>2000</v>
      </c>
      <c r="C27" s="33" t="n">
        <f aca="false">B27/4</f>
        <v>500</v>
      </c>
      <c r="D27" s="32" t="s">
        <v>81</v>
      </c>
    </row>
    <row r="28" customFormat="false" ht="15" hidden="false" customHeight="false" outlineLevel="0" collapsed="false">
      <c r="A28" s="32" t="s">
        <v>82</v>
      </c>
      <c r="B28" s="31" t="n">
        <v>2500</v>
      </c>
      <c r="C28" s="33" t="n">
        <f aca="false">B28/4</f>
        <v>625</v>
      </c>
      <c r="D28" s="32" t="s">
        <v>83</v>
      </c>
    </row>
    <row r="29" customFormat="false" ht="15" hidden="false" customHeight="false" outlineLevel="0" collapsed="false">
      <c r="A29" s="32" t="s">
        <v>84</v>
      </c>
      <c r="B29" s="31" t="n">
        <v>2500</v>
      </c>
      <c r="C29" s="42" t="n">
        <f aca="false">B29/4</f>
        <v>625</v>
      </c>
      <c r="D29" s="32" t="s">
        <v>85</v>
      </c>
    </row>
    <row r="30" customFormat="false" ht="15" hidden="false" customHeight="false" outlineLevel="0" collapsed="false">
      <c r="A30" s="32" t="s">
        <v>86</v>
      </c>
      <c r="B30" s="31" t="n">
        <v>5000</v>
      </c>
      <c r="C30" s="42" t="n">
        <f aca="false">B30/4</f>
        <v>1250</v>
      </c>
      <c r="D30" s="32"/>
      <c r="F30" s="3" t="n">
        <f aca="false">2220+500+285</f>
        <v>3005</v>
      </c>
    </row>
    <row r="31" customFormat="false" ht="15" hidden="false" customHeight="false" outlineLevel="0" collapsed="false">
      <c r="A31" s="37" t="s">
        <v>87</v>
      </c>
      <c r="B31" s="31" t="n">
        <v>3150</v>
      </c>
      <c r="C31" s="42" t="n">
        <f aca="false">B31/4</f>
        <v>787.5</v>
      </c>
      <c r="D31" s="32"/>
    </row>
    <row r="32" customFormat="false" ht="15" hidden="false" customHeight="false" outlineLevel="0" collapsed="false">
      <c r="A32" s="32" t="s">
        <v>88</v>
      </c>
      <c r="B32" s="31" t="n">
        <v>505</v>
      </c>
      <c r="C32" s="33" t="n">
        <f aca="false">B32/4</f>
        <v>126.25</v>
      </c>
      <c r="D32" s="32" t="s">
        <v>89</v>
      </c>
    </row>
    <row r="33" customFormat="false" ht="15" hidden="false" customHeight="false" outlineLevel="0" collapsed="false">
      <c r="A33" s="32" t="s">
        <v>90</v>
      </c>
      <c r="B33" s="31" t="n">
        <v>500</v>
      </c>
      <c r="C33" s="33" t="n">
        <f aca="false">B33/4</f>
        <v>125</v>
      </c>
      <c r="D33" s="32" t="s">
        <v>75</v>
      </c>
    </row>
    <row r="34" customFormat="false" ht="15" hidden="false" customHeight="false" outlineLevel="0" collapsed="false">
      <c r="A34" s="32" t="s">
        <v>90</v>
      </c>
      <c r="B34" s="31" t="n">
        <v>1500</v>
      </c>
      <c r="C34" s="33" t="n">
        <f aca="false">B34/4</f>
        <v>375</v>
      </c>
      <c r="D34" s="32" t="s">
        <v>91</v>
      </c>
    </row>
    <row r="35" customFormat="false" ht="15" hidden="false" customHeight="false" outlineLevel="0" collapsed="false">
      <c r="A35" s="37" t="s">
        <v>92</v>
      </c>
      <c r="B35" s="31" t="n">
        <v>10000</v>
      </c>
      <c r="C35" s="42" t="n">
        <f aca="false">B35/4</f>
        <v>2500</v>
      </c>
      <c r="D35" s="32"/>
    </row>
    <row r="36" customFormat="false" ht="15" hidden="false" customHeight="false" outlineLevel="0" collapsed="false">
      <c r="A36" s="32" t="s">
        <v>93</v>
      </c>
      <c r="B36" s="31" t="n">
        <v>3000</v>
      </c>
      <c r="C36" s="33" t="n">
        <f aca="false">B36/4</f>
        <v>750</v>
      </c>
      <c r="D36" s="32" t="s">
        <v>91</v>
      </c>
    </row>
    <row r="37" customFormat="false" ht="15" hidden="false" customHeight="false" outlineLevel="0" collapsed="false">
      <c r="A37" s="37" t="s">
        <v>94</v>
      </c>
      <c r="B37" s="31" t="n">
        <v>10000</v>
      </c>
      <c r="C37" s="42" t="n">
        <f aca="false">B37/4</f>
        <v>2500</v>
      </c>
      <c r="D37" s="32"/>
    </row>
    <row r="38" customFormat="false" ht="15" hidden="false" customHeight="false" outlineLevel="0" collapsed="false">
      <c r="A38" s="32" t="s">
        <v>93</v>
      </c>
      <c r="B38" s="31" t="n">
        <v>3000</v>
      </c>
      <c r="C38" s="33" t="n">
        <f aca="false">B38/4</f>
        <v>750</v>
      </c>
      <c r="D38" s="32" t="s">
        <v>91</v>
      </c>
    </row>
    <row r="39" customFormat="false" ht="15" hidden="false" customHeight="false" outlineLevel="0" collapsed="false">
      <c r="A39" s="37" t="s">
        <v>95</v>
      </c>
      <c r="B39" s="23" t="n">
        <v>22000</v>
      </c>
      <c r="C39" s="42" t="n">
        <f aca="false">B39/4</f>
        <v>5500</v>
      </c>
      <c r="D39" s="32"/>
    </row>
    <row r="40" customFormat="false" ht="15" hidden="false" customHeight="false" outlineLevel="0" collapsed="false">
      <c r="A40" s="37" t="s">
        <v>96</v>
      </c>
      <c r="B40" s="31" t="n">
        <v>13000</v>
      </c>
      <c r="C40" s="42" t="n">
        <f aca="false">B40/4</f>
        <v>3250</v>
      </c>
      <c r="D40" s="32"/>
    </row>
    <row r="41" customFormat="false" ht="15" hidden="false" customHeight="false" outlineLevel="0" collapsed="false">
      <c r="A41" s="32" t="s">
        <v>78</v>
      </c>
      <c r="B41" s="31" t="n">
        <v>5000</v>
      </c>
      <c r="C41" s="33" t="n">
        <f aca="false">B41/4</f>
        <v>1250</v>
      </c>
      <c r="D41" s="32" t="s">
        <v>91</v>
      </c>
    </row>
    <row r="42" customFormat="false" ht="15" hidden="false" customHeight="false" outlineLevel="0" collapsed="false">
      <c r="A42" s="37" t="s">
        <v>97</v>
      </c>
      <c r="B42" s="31" t="n">
        <v>18000</v>
      </c>
      <c r="C42" s="42" t="n">
        <f aca="false">B42/4</f>
        <v>4500</v>
      </c>
      <c r="D42" s="32"/>
    </row>
    <row r="43" customFormat="false" ht="15" hidden="false" customHeight="false" outlineLevel="0" collapsed="false">
      <c r="A43" s="32" t="s">
        <v>98</v>
      </c>
      <c r="B43" s="31" t="n">
        <v>6000</v>
      </c>
      <c r="C43" s="33" t="n">
        <f aca="false">B43/4</f>
        <v>1500</v>
      </c>
      <c r="D43" s="32" t="s">
        <v>91</v>
      </c>
    </row>
    <row r="44" customFormat="false" ht="15" hidden="false" customHeight="false" outlineLevel="0" collapsed="false">
      <c r="A44" s="37" t="s">
        <v>99</v>
      </c>
      <c r="B44" s="31" t="n">
        <v>4000</v>
      </c>
      <c r="C44" s="42" t="n">
        <f aca="false">B44/4</f>
        <v>1000</v>
      </c>
      <c r="D44" s="32"/>
    </row>
    <row r="45" customFormat="false" ht="15" hidden="false" customHeight="false" outlineLevel="0" collapsed="false">
      <c r="A45" s="37" t="s">
        <v>100</v>
      </c>
      <c r="B45" s="31" t="n">
        <v>10000</v>
      </c>
      <c r="C45" s="42" t="n">
        <f aca="false">B45/4</f>
        <v>2500</v>
      </c>
      <c r="D45" s="32"/>
    </row>
    <row r="46" customFormat="false" ht="15" hidden="false" customHeight="false" outlineLevel="0" collapsed="false">
      <c r="A46" s="37" t="s">
        <v>78</v>
      </c>
      <c r="B46" s="31" t="n">
        <v>4000</v>
      </c>
      <c r="C46" s="33" t="n">
        <f aca="false">B46/4</f>
        <v>1000</v>
      </c>
      <c r="D46" s="32" t="s">
        <v>101</v>
      </c>
    </row>
    <row r="47" customFormat="false" ht="15" hidden="false" customHeight="false" outlineLevel="0" collapsed="false">
      <c r="A47" s="37" t="s">
        <v>80</v>
      </c>
      <c r="B47" s="31" t="n">
        <v>2000</v>
      </c>
      <c r="C47" s="33" t="n">
        <f aca="false">B47/4</f>
        <v>500</v>
      </c>
      <c r="D47" s="32" t="s">
        <v>83</v>
      </c>
    </row>
    <row r="48" customFormat="false" ht="15" hidden="false" customHeight="false" outlineLevel="0" collapsed="false">
      <c r="A48" s="37" t="s">
        <v>82</v>
      </c>
      <c r="B48" s="31" t="n">
        <v>2000</v>
      </c>
      <c r="C48" s="42" t="n">
        <f aca="false">B48/4</f>
        <v>500</v>
      </c>
      <c r="D48" s="32" t="s">
        <v>102</v>
      </c>
    </row>
    <row r="49" customFormat="false" ht="15" hidden="false" customHeight="false" outlineLevel="0" collapsed="false">
      <c r="A49" s="37" t="s">
        <v>84</v>
      </c>
      <c r="B49" s="31" t="n">
        <v>2000</v>
      </c>
      <c r="C49" s="42" t="n">
        <f aca="false">B49/4</f>
        <v>500</v>
      </c>
      <c r="D49" s="32" t="s">
        <v>103</v>
      </c>
    </row>
    <row r="50" customFormat="false" ht="15" hidden="false" customHeight="false" outlineLevel="0" collapsed="false">
      <c r="A50" s="37" t="s">
        <v>104</v>
      </c>
      <c r="B50" s="31" t="n">
        <v>3000</v>
      </c>
      <c r="C50" s="42" t="n">
        <f aca="false">B50/4</f>
        <v>750</v>
      </c>
      <c r="D50" s="32"/>
    </row>
    <row r="51" customFormat="false" ht="15" hidden="false" customHeight="false" outlineLevel="0" collapsed="false">
      <c r="A51" s="37" t="s">
        <v>105</v>
      </c>
      <c r="B51" s="31" t="n">
        <v>20000</v>
      </c>
      <c r="C51" s="42" t="n">
        <f aca="false">B51/4</f>
        <v>5000</v>
      </c>
      <c r="D51" s="32"/>
    </row>
    <row r="52" customFormat="false" ht="15" hidden="false" customHeight="false" outlineLevel="0" collapsed="false">
      <c r="A52" s="43" t="s">
        <v>106</v>
      </c>
      <c r="B52" s="44" t="n">
        <v>12000</v>
      </c>
      <c r="C52" s="42" t="n">
        <f aca="false">B52/4</f>
        <v>3000</v>
      </c>
      <c r="D52" s="32"/>
    </row>
    <row r="53" customFormat="false" ht="15" hidden="false" customHeight="false" outlineLevel="0" collapsed="false">
      <c r="A53" s="45" t="s">
        <v>107</v>
      </c>
      <c r="B53" s="44" t="n">
        <v>119.61</v>
      </c>
      <c r="C53" s="33" t="n">
        <f aca="false">B53/4</f>
        <v>29.9025</v>
      </c>
      <c r="D53" s="32"/>
    </row>
    <row r="54" customFormat="false" ht="15" hidden="false" customHeight="false" outlineLevel="0" collapsed="false">
      <c r="A54" s="45" t="s">
        <v>108</v>
      </c>
      <c r="B54" s="44" t="n">
        <v>33</v>
      </c>
      <c r="C54" s="33" t="n">
        <f aca="false">B54/4</f>
        <v>8.25</v>
      </c>
      <c r="D54" s="32"/>
    </row>
    <row r="55" customFormat="false" ht="15" hidden="false" customHeight="false" outlineLevel="0" collapsed="false">
      <c r="A55" s="45"/>
      <c r="B55" s="46" t="n">
        <f aca="false">SUM(B45,B52,B51,B44,B42,B40,B39,B37,B35,B31,B25)</f>
        <v>136150</v>
      </c>
      <c r="C55" s="42" t="n">
        <f aca="false">B55/4</f>
        <v>34037.5</v>
      </c>
      <c r="D55" s="32"/>
    </row>
    <row r="56" customFormat="false" ht="15" hidden="false" customHeight="false" outlineLevel="0" collapsed="false">
      <c r="A56" s="47" t="s">
        <v>109</v>
      </c>
      <c r="B56" s="47"/>
      <c r="C56" s="42" t="n">
        <f aca="false">SUM(C54,C53,C47,C46,C43,C41,C38,C36,C34,C33,C32,C28,C27,C26,C19,C21,C16,C4,C5,C6,C7,C8,C9,C10,C11,C12)</f>
        <v>35364.375</v>
      </c>
      <c r="D56" s="32"/>
    </row>
  </sheetData>
  <mergeCells count="6">
    <mergeCell ref="A1:D1"/>
    <mergeCell ref="G1:I1"/>
    <mergeCell ref="A3:D3"/>
    <mergeCell ref="A14:D14"/>
    <mergeCell ref="A24:D24"/>
    <mergeCell ref="A56:B56"/>
  </mergeCells>
  <printOptions headings="false" gridLines="false" gridLinesSet="true" horizontalCentered="false" verticalCentered="false"/>
  <pageMargins left="0.511805555555556" right="0.511805555555556" top="0.7875" bottom="0.7875" header="0.511811023622047" footer="0.31527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&amp;R_x005F_x000D_&amp;1#&amp;10&amp;K008000 [ CLASSIFICAÇÃO: PÚBLICA 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44" colorId="64" zoomScale="110" zoomScaleNormal="110" zoomScalePageLayoutView="100" workbookViewId="0">
      <selection pane="topLeft" activeCell="F157" activeCellId="0" sqref="F157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3" width="10.06"/>
    <col collapsed="false" customWidth="true" hidden="false" outlineLevel="0" max="2" min="2" style="3" width="27.45"/>
    <col collapsed="false" customWidth="true" hidden="false" outlineLevel="0" max="3" min="3" style="3" width="14.37"/>
    <col collapsed="false" customWidth="true" hidden="false" outlineLevel="0" max="4" min="4" style="3" width="14.74"/>
    <col collapsed="false" customWidth="true" hidden="false" outlineLevel="0" max="5" min="5" style="3" width="16.74"/>
    <col collapsed="false" customWidth="true" hidden="false" outlineLevel="0" max="6" min="6" style="3" width="8.9"/>
    <col collapsed="false" customWidth="true" hidden="false" outlineLevel="0" max="7" min="7" style="3" width="24.25"/>
    <col collapsed="false" customWidth="true" hidden="false" outlineLevel="0" max="8" min="8" style="3" width="26.48"/>
    <col collapsed="false" customWidth="true" hidden="false" outlineLevel="0" max="9" min="9" style="3" width="21.43"/>
    <col collapsed="false" customWidth="true" hidden="false" outlineLevel="0" max="10" min="10" style="3" width="16.97"/>
    <col collapsed="false" customWidth="true" hidden="false" outlineLevel="0" max="11" min="11" style="3" width="7"/>
    <col collapsed="false" customWidth="true" hidden="false" outlineLevel="0" max="13" min="12" style="3" width="7.97"/>
    <col collapsed="false" customWidth="true" hidden="false" outlineLevel="0" max="14" min="14" style="3" width="16.89"/>
    <col collapsed="false" customWidth="true" hidden="false" outlineLevel="0" max="15" min="15" style="3" width="14.33"/>
    <col collapsed="false" customWidth="true" hidden="false" outlineLevel="0" max="16" min="16" style="3" width="14.93"/>
    <col collapsed="false" customWidth="true" hidden="false" outlineLevel="0" max="17" min="17" style="3" width="31.06"/>
    <col collapsed="false" customWidth="true" hidden="false" outlineLevel="0" max="18" min="18" style="3" width="13.4"/>
    <col collapsed="false" customWidth="true" hidden="false" outlineLevel="0" max="19" min="19" style="3" width="24.67"/>
    <col collapsed="false" customWidth="true" hidden="false" outlineLevel="0" max="20" min="20" style="3" width="13.81"/>
  </cols>
  <sheetData>
    <row r="1" customFormat="false" ht="13.8" hidden="false" customHeight="false" outlineLevel="0" collapsed="false">
      <c r="A1" s="3" t="s">
        <v>110</v>
      </c>
      <c r="B1" s="3" t="s">
        <v>111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  <c r="J1" s="3" t="s">
        <v>119</v>
      </c>
      <c r="K1" s="3" t="s">
        <v>120</v>
      </c>
      <c r="L1" s="3" t="s">
        <v>40</v>
      </c>
      <c r="M1" s="3" t="s">
        <v>121</v>
      </c>
      <c r="N1" s="3" t="s">
        <v>122</v>
      </c>
      <c r="O1" s="3" t="s">
        <v>123</v>
      </c>
      <c r="P1" s="3" t="s">
        <v>124</v>
      </c>
      <c r="Q1" s="3" t="s">
        <v>125</v>
      </c>
      <c r="R1" s="3" t="s">
        <v>126</v>
      </c>
      <c r="S1" s="3" t="s">
        <v>127</v>
      </c>
      <c r="T1" s="3" t="s">
        <v>128</v>
      </c>
    </row>
    <row r="2" customFormat="false" ht="13.8" hidden="false" customHeight="false" outlineLevel="0" collapsed="false">
      <c r="A2" s="3" t="s">
        <v>129</v>
      </c>
      <c r="B2" s="3" t="s">
        <v>130</v>
      </c>
      <c r="C2" s="3" t="s">
        <v>131</v>
      </c>
      <c r="D2" s="48" t="s">
        <v>132</v>
      </c>
      <c r="E2" s="48" t="s">
        <v>133</v>
      </c>
      <c r="F2" s="3" t="n">
        <v>2</v>
      </c>
      <c r="G2" s="3" t="s">
        <v>134</v>
      </c>
      <c r="H2" s="3" t="s">
        <v>135</v>
      </c>
      <c r="K2" s="3" t="s">
        <v>136</v>
      </c>
      <c r="L2" s="3" t="n">
        <v>693.88</v>
      </c>
      <c r="N2" s="3" t="s">
        <v>137</v>
      </c>
      <c r="P2" s="3" t="s">
        <v>138</v>
      </c>
      <c r="Q2" s="3" t="s">
        <v>139</v>
      </c>
      <c r="R2" s="3" t="s">
        <v>140</v>
      </c>
      <c r="S2" s="3" t="s">
        <v>139</v>
      </c>
      <c r="T2" s="3" t="n">
        <v>2025</v>
      </c>
    </row>
    <row r="3" customFormat="false" ht="13.8" hidden="false" customHeight="false" outlineLevel="0" collapsed="false">
      <c r="A3" s="3" t="s">
        <v>129</v>
      </c>
      <c r="B3" s="3" t="s">
        <v>141</v>
      </c>
      <c r="C3" s="48" t="s">
        <v>142</v>
      </c>
      <c r="D3" s="3" t="s">
        <v>143</v>
      </c>
      <c r="E3" s="3" t="s">
        <v>144</v>
      </c>
      <c r="F3" s="3" t="n">
        <v>2</v>
      </c>
      <c r="G3" s="3" t="s">
        <v>145</v>
      </c>
      <c r="H3" s="3" t="s">
        <v>135</v>
      </c>
      <c r="K3" s="3" t="s">
        <v>136</v>
      </c>
      <c r="L3" s="3" t="n">
        <v>583.4</v>
      </c>
      <c r="N3" s="3" t="s">
        <v>146</v>
      </c>
      <c r="P3" s="3" t="s">
        <v>138</v>
      </c>
      <c r="Q3" s="3" t="s">
        <v>139</v>
      </c>
      <c r="R3" s="3" t="s">
        <v>147</v>
      </c>
      <c r="S3" s="3" t="s">
        <v>139</v>
      </c>
      <c r="T3" s="3" t="n">
        <v>2025</v>
      </c>
    </row>
    <row r="4" customFormat="false" ht="13.8" hidden="false" customHeight="false" outlineLevel="0" collapsed="false">
      <c r="A4" s="3" t="s">
        <v>129</v>
      </c>
      <c r="B4" s="3" t="s">
        <v>148</v>
      </c>
      <c r="C4" s="3" t="s">
        <v>149</v>
      </c>
      <c r="D4" s="3" t="s">
        <v>150</v>
      </c>
      <c r="E4" s="3" t="s">
        <v>151</v>
      </c>
      <c r="F4" s="3" t="n">
        <v>2</v>
      </c>
      <c r="G4" s="3" t="s">
        <v>152</v>
      </c>
      <c r="H4" s="3" t="s">
        <v>135</v>
      </c>
      <c r="K4" s="3" t="s">
        <v>136</v>
      </c>
      <c r="L4" s="3" t="n">
        <v>505.87</v>
      </c>
      <c r="N4" s="3" t="s">
        <v>153</v>
      </c>
      <c r="P4" s="3" t="s">
        <v>138</v>
      </c>
      <c r="Q4" s="3" t="s">
        <v>139</v>
      </c>
      <c r="R4" s="3" t="s">
        <v>154</v>
      </c>
      <c r="S4" s="3" t="s">
        <v>139</v>
      </c>
      <c r="T4" s="3" t="n">
        <v>2025</v>
      </c>
    </row>
    <row r="5" customFormat="false" ht="13.8" hidden="false" customHeight="false" outlineLevel="0" collapsed="false">
      <c r="A5" s="3" t="s">
        <v>129</v>
      </c>
      <c r="B5" s="3" t="s">
        <v>155</v>
      </c>
      <c r="C5" s="3" t="s">
        <v>156</v>
      </c>
      <c r="D5" s="3" t="s">
        <v>157</v>
      </c>
      <c r="E5" s="3" t="s">
        <v>158</v>
      </c>
      <c r="F5" s="3" t="n">
        <v>1</v>
      </c>
      <c r="G5" s="3" t="s">
        <v>159</v>
      </c>
      <c r="H5" s="3" t="s">
        <v>135</v>
      </c>
      <c r="K5" s="3" t="s">
        <v>136</v>
      </c>
      <c r="L5" s="3" t="n">
        <v>319.8</v>
      </c>
      <c r="N5" s="3" t="s">
        <v>160</v>
      </c>
      <c r="P5" s="3" t="s">
        <v>138</v>
      </c>
      <c r="Q5" s="3" t="s">
        <v>139</v>
      </c>
      <c r="R5" s="3" t="s">
        <v>161</v>
      </c>
      <c r="S5" s="3" t="s">
        <v>139</v>
      </c>
      <c r="T5" s="3" t="n">
        <v>2025</v>
      </c>
    </row>
    <row r="6" customFormat="false" ht="13.8" hidden="false" customHeight="false" outlineLevel="0" collapsed="false">
      <c r="A6" s="3" t="s">
        <v>129</v>
      </c>
      <c r="B6" s="3" t="s">
        <v>162</v>
      </c>
      <c r="C6" s="3" t="s">
        <v>163</v>
      </c>
      <c r="D6" s="3" t="s">
        <v>158</v>
      </c>
      <c r="E6" s="3" t="s">
        <v>164</v>
      </c>
      <c r="F6" s="3" t="n">
        <v>3</v>
      </c>
      <c r="G6" s="3" t="s">
        <v>165</v>
      </c>
      <c r="H6" s="3" t="s">
        <v>135</v>
      </c>
      <c r="K6" s="3" t="s">
        <v>136</v>
      </c>
      <c r="L6" s="3" t="n">
        <v>703.57</v>
      </c>
      <c r="N6" s="3" t="s">
        <v>166</v>
      </c>
      <c r="P6" s="3" t="s">
        <v>138</v>
      </c>
      <c r="Q6" s="3" t="s">
        <v>139</v>
      </c>
      <c r="R6" s="3" t="s">
        <v>167</v>
      </c>
      <c r="S6" s="3" t="s">
        <v>139</v>
      </c>
      <c r="T6" s="3" t="n">
        <v>2025</v>
      </c>
    </row>
    <row r="7" customFormat="false" ht="13.8" hidden="false" customHeight="false" outlineLevel="0" collapsed="false">
      <c r="A7" s="3" t="s">
        <v>129</v>
      </c>
      <c r="B7" s="3" t="s">
        <v>168</v>
      </c>
      <c r="C7" s="48" t="s">
        <v>169</v>
      </c>
      <c r="D7" s="3" t="s">
        <v>170</v>
      </c>
      <c r="E7" s="3" t="s">
        <v>171</v>
      </c>
      <c r="F7" s="3" t="n">
        <v>2</v>
      </c>
      <c r="G7" s="3" t="s">
        <v>172</v>
      </c>
      <c r="H7" s="3" t="s">
        <v>135</v>
      </c>
      <c r="K7" s="3" t="s">
        <v>136</v>
      </c>
      <c r="L7" s="3" t="n">
        <v>434.63</v>
      </c>
      <c r="N7" s="3" t="s">
        <v>173</v>
      </c>
      <c r="P7" s="3" t="s">
        <v>138</v>
      </c>
      <c r="Q7" s="3" t="s">
        <v>139</v>
      </c>
      <c r="R7" s="3" t="s">
        <v>174</v>
      </c>
      <c r="S7" s="3" t="s">
        <v>139</v>
      </c>
      <c r="T7" s="3" t="n">
        <v>2025</v>
      </c>
    </row>
    <row r="8" customFormat="false" ht="13.8" hidden="false" customHeight="false" outlineLevel="0" collapsed="false">
      <c r="A8" s="3" t="s">
        <v>129</v>
      </c>
      <c r="B8" s="3" t="s">
        <v>175</v>
      </c>
      <c r="C8" s="48" t="s">
        <v>176</v>
      </c>
      <c r="D8" s="3" t="s">
        <v>177</v>
      </c>
      <c r="E8" s="3" t="s">
        <v>178</v>
      </c>
      <c r="F8" s="3" t="n">
        <v>3</v>
      </c>
      <c r="G8" s="3" t="s">
        <v>179</v>
      </c>
      <c r="H8" s="3" t="s">
        <v>135</v>
      </c>
      <c r="K8" s="3" t="s">
        <v>136</v>
      </c>
      <c r="L8" s="3" t="n">
        <v>804.36</v>
      </c>
      <c r="N8" s="3" t="s">
        <v>180</v>
      </c>
      <c r="P8" s="3" t="s">
        <v>138</v>
      </c>
      <c r="Q8" s="3" t="s">
        <v>139</v>
      </c>
      <c r="R8" s="3" t="s">
        <v>181</v>
      </c>
      <c r="S8" s="3" t="s">
        <v>139</v>
      </c>
      <c r="T8" s="3" t="n">
        <v>2025</v>
      </c>
    </row>
    <row r="9" customFormat="false" ht="13.8" hidden="false" customHeight="false" outlineLevel="0" collapsed="false">
      <c r="A9" s="3" t="s">
        <v>129</v>
      </c>
      <c r="B9" s="3" t="s">
        <v>182</v>
      </c>
      <c r="C9" s="48" t="s">
        <v>183</v>
      </c>
      <c r="D9" s="3" t="s">
        <v>184</v>
      </c>
      <c r="E9" s="48" t="s">
        <v>185</v>
      </c>
      <c r="F9" s="3" t="n">
        <v>2</v>
      </c>
      <c r="G9" s="3" t="s">
        <v>186</v>
      </c>
      <c r="H9" s="3" t="s">
        <v>135</v>
      </c>
      <c r="K9" s="3" t="s">
        <v>136</v>
      </c>
      <c r="L9" s="3" t="n">
        <v>492.58</v>
      </c>
      <c r="N9" s="3" t="s">
        <v>187</v>
      </c>
      <c r="P9" s="3" t="s">
        <v>138</v>
      </c>
      <c r="Q9" s="3" t="s">
        <v>139</v>
      </c>
      <c r="R9" s="3" t="s">
        <v>188</v>
      </c>
      <c r="S9" s="3" t="s">
        <v>139</v>
      </c>
      <c r="T9" s="3" t="n">
        <v>2025</v>
      </c>
    </row>
    <row r="10" customFormat="false" ht="13.8" hidden="false" customHeight="false" outlineLevel="0" collapsed="false">
      <c r="A10" s="3" t="s">
        <v>129</v>
      </c>
      <c r="B10" s="3" t="s">
        <v>189</v>
      </c>
      <c r="C10" s="3" t="s">
        <v>190</v>
      </c>
      <c r="D10" s="48" t="s">
        <v>185</v>
      </c>
      <c r="E10" s="48" t="s">
        <v>191</v>
      </c>
      <c r="F10" s="3" t="n">
        <v>2</v>
      </c>
      <c r="G10" s="3" t="s">
        <v>192</v>
      </c>
      <c r="H10" s="3" t="s">
        <v>135</v>
      </c>
      <c r="K10" s="3" t="s">
        <v>136</v>
      </c>
      <c r="L10" s="3" t="n">
        <v>585.31</v>
      </c>
      <c r="N10" s="3" t="s">
        <v>193</v>
      </c>
      <c r="P10" s="3" t="s">
        <v>138</v>
      </c>
      <c r="Q10" s="3" t="s">
        <v>139</v>
      </c>
      <c r="R10" s="3" t="s">
        <v>194</v>
      </c>
      <c r="S10" s="3" t="s">
        <v>139</v>
      </c>
      <c r="T10" s="3" t="n">
        <v>2025</v>
      </c>
    </row>
    <row r="11" customFormat="false" ht="13.8" hidden="false" customHeight="false" outlineLevel="0" collapsed="false">
      <c r="A11" s="3" t="s">
        <v>129</v>
      </c>
      <c r="B11" s="3" t="s">
        <v>195</v>
      </c>
      <c r="C11" s="48" t="s">
        <v>196</v>
      </c>
      <c r="D11" s="48" t="s">
        <v>197</v>
      </c>
      <c r="E11" s="48" t="s">
        <v>198</v>
      </c>
      <c r="F11" s="3" t="n">
        <v>2</v>
      </c>
      <c r="G11" s="3" t="s">
        <v>199</v>
      </c>
      <c r="H11" s="3" t="s">
        <v>135</v>
      </c>
      <c r="K11" s="3" t="s">
        <v>136</v>
      </c>
      <c r="L11" s="3" t="n">
        <v>529.29</v>
      </c>
      <c r="N11" s="3" t="s">
        <v>200</v>
      </c>
      <c r="P11" s="3" t="s">
        <v>138</v>
      </c>
      <c r="Q11" s="3" t="s">
        <v>139</v>
      </c>
      <c r="R11" s="3" t="s">
        <v>201</v>
      </c>
      <c r="S11" s="3" t="s">
        <v>139</v>
      </c>
      <c r="T11" s="3" t="n">
        <v>2025</v>
      </c>
    </row>
    <row r="12" customFormat="false" ht="13.8" hidden="false" customHeight="false" outlineLevel="0" collapsed="false">
      <c r="A12" s="3" t="s">
        <v>129</v>
      </c>
      <c r="B12" s="3" t="s">
        <v>202</v>
      </c>
      <c r="C12" s="3" t="s">
        <v>203</v>
      </c>
      <c r="D12" s="48" t="s">
        <v>198</v>
      </c>
      <c r="E12" s="3" t="s">
        <v>204</v>
      </c>
      <c r="F12" s="3" t="n">
        <v>5</v>
      </c>
      <c r="G12" s="3" t="s">
        <v>205</v>
      </c>
      <c r="H12" s="3" t="s">
        <v>135</v>
      </c>
      <c r="K12" s="3" t="s">
        <v>136</v>
      </c>
      <c r="L12" s="3" t="n">
        <v>1118.45</v>
      </c>
      <c r="N12" s="3" t="s">
        <v>206</v>
      </c>
      <c r="P12" s="3" t="s">
        <v>138</v>
      </c>
      <c r="Q12" s="3" t="s">
        <v>207</v>
      </c>
      <c r="R12" s="3" t="s">
        <v>208</v>
      </c>
      <c r="S12" s="3" t="s">
        <v>139</v>
      </c>
      <c r="T12" s="3" t="n">
        <v>2025</v>
      </c>
    </row>
    <row r="13" customFormat="false" ht="13.8" hidden="false" customHeight="false" outlineLevel="0" collapsed="false">
      <c r="A13" s="3" t="s">
        <v>129</v>
      </c>
      <c r="B13" s="3" t="s">
        <v>209</v>
      </c>
      <c r="C13" s="48" t="s">
        <v>210</v>
      </c>
      <c r="D13" s="3" t="s">
        <v>204</v>
      </c>
      <c r="E13" s="3" t="s">
        <v>211</v>
      </c>
      <c r="F13" s="3" t="n">
        <v>1</v>
      </c>
      <c r="G13" s="3" t="s">
        <v>212</v>
      </c>
      <c r="H13" s="3" t="s">
        <v>135</v>
      </c>
      <c r="K13" s="3" t="s">
        <v>136</v>
      </c>
      <c r="L13" s="3" t="n">
        <v>318.72</v>
      </c>
      <c r="N13" s="3" t="s">
        <v>213</v>
      </c>
      <c r="P13" s="3" t="s">
        <v>138</v>
      </c>
      <c r="Q13" s="3" t="s">
        <v>139</v>
      </c>
      <c r="R13" s="3" t="s">
        <v>214</v>
      </c>
      <c r="S13" s="3" t="s">
        <v>139</v>
      </c>
      <c r="T13" s="3" t="n">
        <v>2025</v>
      </c>
    </row>
    <row r="14" customFormat="false" ht="13.8" hidden="false" customHeight="false" outlineLevel="0" collapsed="false">
      <c r="A14" s="3" t="s">
        <v>129</v>
      </c>
      <c r="B14" s="3" t="s">
        <v>215</v>
      </c>
      <c r="C14" s="3" t="s">
        <v>216</v>
      </c>
      <c r="D14" s="3" t="s">
        <v>211</v>
      </c>
      <c r="E14" s="3" t="s">
        <v>217</v>
      </c>
      <c r="F14" s="3" t="n">
        <v>2</v>
      </c>
      <c r="G14" s="3" t="s">
        <v>218</v>
      </c>
      <c r="H14" s="3" t="s">
        <v>135</v>
      </c>
      <c r="K14" s="3" t="s">
        <v>136</v>
      </c>
      <c r="L14" s="3" t="n">
        <v>565.99</v>
      </c>
      <c r="N14" s="3" t="s">
        <v>219</v>
      </c>
      <c r="P14" s="3" t="s">
        <v>138</v>
      </c>
      <c r="Q14" s="3" t="s">
        <v>139</v>
      </c>
      <c r="R14" s="3" t="s">
        <v>220</v>
      </c>
      <c r="S14" s="3" t="s">
        <v>139</v>
      </c>
      <c r="T14" s="3" t="n">
        <v>2025</v>
      </c>
    </row>
    <row r="15" customFormat="false" ht="13.8" hidden="false" customHeight="false" outlineLevel="0" collapsed="false">
      <c r="A15" s="3" t="s">
        <v>129</v>
      </c>
      <c r="B15" s="3" t="s">
        <v>221</v>
      </c>
      <c r="C15" s="48" t="s">
        <v>198</v>
      </c>
      <c r="D15" s="3" t="s">
        <v>217</v>
      </c>
      <c r="E15" s="3" t="s">
        <v>222</v>
      </c>
      <c r="F15" s="3" t="n">
        <v>2</v>
      </c>
      <c r="G15" s="3" t="s">
        <v>223</v>
      </c>
      <c r="H15" s="3" t="s">
        <v>135</v>
      </c>
      <c r="K15" s="3" t="s">
        <v>136</v>
      </c>
      <c r="L15" s="3" t="n">
        <v>376.68</v>
      </c>
      <c r="N15" s="3" t="s">
        <v>224</v>
      </c>
      <c r="P15" s="3" t="s">
        <v>138</v>
      </c>
      <c r="Q15" s="3" t="s">
        <v>139</v>
      </c>
      <c r="R15" s="3" t="s">
        <v>225</v>
      </c>
      <c r="S15" s="3" t="s">
        <v>139</v>
      </c>
      <c r="T15" s="3" t="n">
        <v>2025</v>
      </c>
    </row>
    <row r="16" customFormat="false" ht="13.8" hidden="false" customHeight="false" outlineLevel="0" collapsed="false">
      <c r="A16" s="3" t="s">
        <v>129</v>
      </c>
      <c r="B16" s="3" t="s">
        <v>226</v>
      </c>
      <c r="C16" s="48" t="s">
        <v>227</v>
      </c>
      <c r="D16" s="3" t="s">
        <v>222</v>
      </c>
      <c r="E16" s="3" t="s">
        <v>228</v>
      </c>
      <c r="F16" s="3" t="n">
        <v>2</v>
      </c>
      <c r="G16" s="3" t="s">
        <v>229</v>
      </c>
      <c r="H16" s="3" t="s">
        <v>135</v>
      </c>
      <c r="K16" s="3" t="s">
        <v>136</v>
      </c>
      <c r="L16" s="3" t="n">
        <v>453.95</v>
      </c>
      <c r="N16" s="3" t="s">
        <v>230</v>
      </c>
      <c r="P16" s="3" t="s">
        <v>138</v>
      </c>
      <c r="Q16" s="3" t="s">
        <v>139</v>
      </c>
      <c r="R16" s="3" t="s">
        <v>231</v>
      </c>
      <c r="S16" s="3" t="s">
        <v>139</v>
      </c>
      <c r="T16" s="3" t="n">
        <v>2025</v>
      </c>
    </row>
    <row r="17" customFormat="false" ht="13.8" hidden="false" customHeight="false" outlineLevel="0" collapsed="false">
      <c r="A17" s="3" t="s">
        <v>129</v>
      </c>
      <c r="B17" s="3" t="s">
        <v>232</v>
      </c>
      <c r="C17" s="3" t="s">
        <v>178</v>
      </c>
      <c r="D17" s="3" t="s">
        <v>233</v>
      </c>
      <c r="E17" s="48" t="s">
        <v>234</v>
      </c>
      <c r="F17" s="3" t="n">
        <v>2</v>
      </c>
      <c r="G17" s="3" t="s">
        <v>235</v>
      </c>
      <c r="H17" s="3" t="s">
        <v>135</v>
      </c>
      <c r="K17" s="3" t="s">
        <v>136</v>
      </c>
      <c r="L17" s="3" t="n">
        <v>623.94</v>
      </c>
      <c r="N17" s="3" t="s">
        <v>236</v>
      </c>
      <c r="P17" s="3" t="s">
        <v>138</v>
      </c>
      <c r="Q17" s="3" t="s">
        <v>139</v>
      </c>
      <c r="R17" s="3" t="s">
        <v>237</v>
      </c>
      <c r="S17" s="3" t="s">
        <v>139</v>
      </c>
      <c r="T17" s="3" t="n">
        <v>2025</v>
      </c>
    </row>
    <row r="18" customFormat="false" ht="13.8" hidden="false" customHeight="false" outlineLevel="0" collapsed="false">
      <c r="A18" s="3" t="s">
        <v>129</v>
      </c>
      <c r="B18" s="3" t="s">
        <v>238</v>
      </c>
      <c r="C18" s="48" t="s">
        <v>227</v>
      </c>
      <c r="D18" s="48" t="s">
        <v>239</v>
      </c>
      <c r="E18" s="48" t="s">
        <v>240</v>
      </c>
      <c r="F18" s="3" t="n">
        <v>2</v>
      </c>
      <c r="G18" s="3" t="s">
        <v>241</v>
      </c>
      <c r="H18" s="3" t="s">
        <v>135</v>
      </c>
      <c r="K18" s="3" t="s">
        <v>136</v>
      </c>
      <c r="L18" s="3" t="n">
        <v>415.31</v>
      </c>
      <c r="N18" s="3" t="s">
        <v>242</v>
      </c>
      <c r="P18" s="3" t="s">
        <v>138</v>
      </c>
      <c r="Q18" s="3" t="s">
        <v>139</v>
      </c>
      <c r="R18" s="3" t="s">
        <v>243</v>
      </c>
      <c r="S18" s="3" t="s">
        <v>139</v>
      </c>
      <c r="T18" s="3" t="n">
        <v>2025</v>
      </c>
    </row>
    <row r="19" customFormat="false" ht="13.8" hidden="false" customHeight="false" outlineLevel="0" collapsed="false">
      <c r="A19" s="3" t="s">
        <v>129</v>
      </c>
      <c r="B19" s="3" t="s">
        <v>244</v>
      </c>
      <c r="C19" s="48" t="s">
        <v>239</v>
      </c>
      <c r="D19" s="48" t="s">
        <v>245</v>
      </c>
      <c r="E19" s="48" t="s">
        <v>246</v>
      </c>
      <c r="F19" s="3" t="n">
        <v>1</v>
      </c>
      <c r="G19" s="3" t="s">
        <v>247</v>
      </c>
      <c r="H19" s="3" t="s">
        <v>135</v>
      </c>
      <c r="K19" s="3" t="s">
        <v>136</v>
      </c>
      <c r="L19" s="3" t="n">
        <v>318.72</v>
      </c>
      <c r="N19" s="3" t="s">
        <v>213</v>
      </c>
      <c r="P19" s="3" t="s">
        <v>138</v>
      </c>
      <c r="Q19" s="3" t="s">
        <v>139</v>
      </c>
      <c r="R19" s="3" t="s">
        <v>214</v>
      </c>
      <c r="S19" s="3" t="s">
        <v>139</v>
      </c>
      <c r="T19" s="3" t="n">
        <v>2025</v>
      </c>
    </row>
    <row r="20" customFormat="false" ht="13.8" hidden="false" customHeight="false" outlineLevel="0" collapsed="false">
      <c r="A20" s="3" t="s">
        <v>129</v>
      </c>
      <c r="B20" s="3" t="s">
        <v>248</v>
      </c>
      <c r="C20" s="48" t="s">
        <v>249</v>
      </c>
      <c r="D20" s="48" t="s">
        <v>246</v>
      </c>
      <c r="E20" s="48" t="s">
        <v>250</v>
      </c>
      <c r="F20" s="3" t="n">
        <v>2</v>
      </c>
      <c r="G20" s="3" t="s">
        <v>251</v>
      </c>
      <c r="H20" s="3" t="s">
        <v>135</v>
      </c>
      <c r="K20" s="3" t="s">
        <v>136</v>
      </c>
      <c r="L20" s="3" t="n">
        <v>569.86</v>
      </c>
      <c r="N20" s="3" t="s">
        <v>252</v>
      </c>
      <c r="P20" s="3" t="s">
        <v>138</v>
      </c>
      <c r="Q20" s="3" t="s">
        <v>139</v>
      </c>
      <c r="R20" s="3" t="s">
        <v>253</v>
      </c>
      <c r="S20" s="3" t="s">
        <v>139</v>
      </c>
      <c r="T20" s="3" t="n">
        <v>2025</v>
      </c>
    </row>
    <row r="21" customFormat="false" ht="13.8" hidden="false" customHeight="false" outlineLevel="0" collapsed="false">
      <c r="A21" s="3" t="s">
        <v>129</v>
      </c>
      <c r="B21" s="3" t="s">
        <v>254</v>
      </c>
      <c r="C21" s="3" t="s">
        <v>255</v>
      </c>
      <c r="D21" s="3" t="s">
        <v>256</v>
      </c>
      <c r="E21" s="3" t="s">
        <v>257</v>
      </c>
      <c r="F21" s="3" t="n">
        <v>2</v>
      </c>
      <c r="G21" s="3" t="s">
        <v>258</v>
      </c>
      <c r="H21" s="3" t="s">
        <v>135</v>
      </c>
      <c r="K21" s="3" t="s">
        <v>136</v>
      </c>
      <c r="L21" s="3" t="n">
        <v>681.89</v>
      </c>
      <c r="N21" s="3" t="s">
        <v>259</v>
      </c>
      <c r="P21" s="3" t="s">
        <v>138</v>
      </c>
      <c r="Q21" s="3" t="s">
        <v>139</v>
      </c>
      <c r="R21" s="3" t="s">
        <v>260</v>
      </c>
      <c r="S21" s="3" t="s">
        <v>139</v>
      </c>
      <c r="T21" s="3" t="n">
        <v>2025</v>
      </c>
    </row>
    <row r="22" customFormat="false" ht="13.8" hidden="false" customHeight="false" outlineLevel="0" collapsed="false">
      <c r="A22" s="3" t="s">
        <v>129</v>
      </c>
      <c r="B22" s="3" t="s">
        <v>261</v>
      </c>
      <c r="C22" s="48" t="s">
        <v>249</v>
      </c>
      <c r="D22" s="3" t="s">
        <v>262</v>
      </c>
      <c r="E22" s="3" t="s">
        <v>263</v>
      </c>
      <c r="F22" s="3" t="n">
        <v>3</v>
      </c>
      <c r="G22" s="3" t="s">
        <v>264</v>
      </c>
      <c r="H22" s="3" t="s">
        <v>135</v>
      </c>
      <c r="K22" s="3" t="s">
        <v>136</v>
      </c>
      <c r="L22" s="3" t="n">
        <v>898.25</v>
      </c>
      <c r="N22" s="3" t="s">
        <v>265</v>
      </c>
      <c r="P22" s="3" t="s">
        <v>138</v>
      </c>
      <c r="Q22" s="3" t="s">
        <v>139</v>
      </c>
      <c r="R22" s="3" t="s">
        <v>266</v>
      </c>
      <c r="S22" s="3" t="s">
        <v>139</v>
      </c>
      <c r="T22" s="3" t="n">
        <v>2025</v>
      </c>
    </row>
    <row r="23" customFormat="false" ht="13.8" hidden="false" customHeight="false" outlineLevel="0" collapsed="false">
      <c r="A23" s="3" t="s">
        <v>129</v>
      </c>
      <c r="B23" s="3" t="s">
        <v>267</v>
      </c>
      <c r="C23" s="3" t="s">
        <v>268</v>
      </c>
      <c r="D23" s="3" t="s">
        <v>263</v>
      </c>
      <c r="E23" s="3" t="s">
        <v>269</v>
      </c>
      <c r="F23" s="3" t="n">
        <v>4</v>
      </c>
      <c r="G23" s="3" t="s">
        <v>270</v>
      </c>
      <c r="H23" s="3" t="s">
        <v>135</v>
      </c>
      <c r="K23" s="3" t="s">
        <v>136</v>
      </c>
      <c r="L23" s="3" t="n">
        <v>716.66</v>
      </c>
      <c r="N23" s="3" t="s">
        <v>271</v>
      </c>
      <c r="P23" s="3" t="s">
        <v>138</v>
      </c>
      <c r="Q23" s="3" t="s">
        <v>139</v>
      </c>
      <c r="R23" s="3" t="s">
        <v>272</v>
      </c>
      <c r="S23" s="3" t="s">
        <v>139</v>
      </c>
      <c r="T23" s="3" t="n">
        <v>2025</v>
      </c>
    </row>
    <row r="24" customFormat="false" ht="13.8" hidden="false" customHeight="false" outlineLevel="0" collapsed="false">
      <c r="A24" s="3" t="s">
        <v>129</v>
      </c>
      <c r="B24" s="3" t="s">
        <v>273</v>
      </c>
      <c r="C24" s="3" t="s">
        <v>274</v>
      </c>
      <c r="D24" s="3" t="s">
        <v>269</v>
      </c>
      <c r="E24" s="3" t="s">
        <v>275</v>
      </c>
      <c r="F24" s="3" t="n">
        <v>1</v>
      </c>
      <c r="G24" s="3" t="s">
        <v>276</v>
      </c>
      <c r="H24" s="3" t="s">
        <v>135</v>
      </c>
      <c r="K24" s="3" t="s">
        <v>136</v>
      </c>
      <c r="L24" s="3" t="n">
        <v>345.78</v>
      </c>
      <c r="N24" s="3" t="s">
        <v>277</v>
      </c>
      <c r="P24" s="3" t="s">
        <v>138</v>
      </c>
      <c r="Q24" s="3" t="s">
        <v>139</v>
      </c>
      <c r="R24" s="3" t="s">
        <v>278</v>
      </c>
      <c r="S24" s="3" t="s">
        <v>139</v>
      </c>
      <c r="T24" s="3" t="n">
        <v>2025</v>
      </c>
    </row>
    <row r="25" customFormat="false" ht="13.8" hidden="false" customHeight="false" outlineLevel="0" collapsed="false">
      <c r="A25" s="3" t="s">
        <v>129</v>
      </c>
      <c r="B25" s="3" t="s">
        <v>279</v>
      </c>
      <c r="C25" s="48" t="s">
        <v>245</v>
      </c>
      <c r="D25" s="3" t="s">
        <v>275</v>
      </c>
      <c r="E25" s="3" t="s">
        <v>280</v>
      </c>
      <c r="F25" s="3" t="n">
        <v>2</v>
      </c>
      <c r="G25" s="3" t="s">
        <v>281</v>
      </c>
      <c r="H25" s="3" t="s">
        <v>135</v>
      </c>
      <c r="K25" s="3" t="s">
        <v>136</v>
      </c>
      <c r="L25" s="3" t="n">
        <v>581.44</v>
      </c>
      <c r="N25" s="3" t="s">
        <v>282</v>
      </c>
      <c r="P25" s="3" t="s">
        <v>138</v>
      </c>
      <c r="Q25" s="3" t="s">
        <v>139</v>
      </c>
      <c r="R25" s="3" t="s">
        <v>283</v>
      </c>
      <c r="S25" s="3" t="s">
        <v>139</v>
      </c>
      <c r="T25" s="3" t="n">
        <v>2025</v>
      </c>
    </row>
    <row r="26" customFormat="false" ht="13.8" hidden="false" customHeight="false" outlineLevel="0" collapsed="false">
      <c r="A26" s="3" t="s">
        <v>129</v>
      </c>
      <c r="B26" s="3" t="s">
        <v>284</v>
      </c>
      <c r="C26" s="3" t="s">
        <v>285</v>
      </c>
      <c r="D26" s="3" t="s">
        <v>286</v>
      </c>
      <c r="E26" s="48" t="s">
        <v>287</v>
      </c>
      <c r="F26" s="3" t="n">
        <v>3</v>
      </c>
      <c r="G26" s="3" t="s">
        <v>288</v>
      </c>
      <c r="H26" s="3" t="s">
        <v>135</v>
      </c>
      <c r="K26" s="3" t="s">
        <v>136</v>
      </c>
      <c r="L26" s="3" t="n">
        <v>562.12</v>
      </c>
      <c r="N26" s="3" t="s">
        <v>289</v>
      </c>
      <c r="P26" s="3" t="s">
        <v>138</v>
      </c>
      <c r="Q26" s="3" t="s">
        <v>139</v>
      </c>
      <c r="R26" s="3" t="s">
        <v>290</v>
      </c>
      <c r="S26" s="3" t="s">
        <v>139</v>
      </c>
      <c r="T26" s="3" t="n">
        <v>2025</v>
      </c>
    </row>
    <row r="27" customFormat="false" ht="13.8" hidden="false" customHeight="false" outlineLevel="0" collapsed="false">
      <c r="A27" s="3" t="s">
        <v>129</v>
      </c>
      <c r="B27" s="3" t="s">
        <v>291</v>
      </c>
      <c r="C27" s="48" t="s">
        <v>292</v>
      </c>
      <c r="D27" s="48" t="s">
        <v>287</v>
      </c>
      <c r="E27" s="48" t="s">
        <v>293</v>
      </c>
      <c r="F27" s="3" t="n">
        <v>3</v>
      </c>
      <c r="G27" s="3" t="s">
        <v>294</v>
      </c>
      <c r="H27" s="3" t="s">
        <v>135</v>
      </c>
      <c r="K27" s="3" t="s">
        <v>136</v>
      </c>
      <c r="L27" s="3" t="n">
        <v>1033.46</v>
      </c>
      <c r="N27" s="3" t="s">
        <v>295</v>
      </c>
      <c r="P27" s="3" t="s">
        <v>138</v>
      </c>
      <c r="Q27" s="3" t="s">
        <v>139</v>
      </c>
      <c r="R27" s="3" t="s">
        <v>296</v>
      </c>
      <c r="S27" s="3" t="s">
        <v>139</v>
      </c>
      <c r="T27" s="3" t="n">
        <v>2025</v>
      </c>
    </row>
    <row r="28" customFormat="false" ht="13.8" hidden="false" customHeight="false" outlineLevel="0" collapsed="false">
      <c r="A28" s="3" t="s">
        <v>129</v>
      </c>
      <c r="B28" s="3" t="s">
        <v>297</v>
      </c>
      <c r="C28" s="48" t="s">
        <v>298</v>
      </c>
      <c r="D28" s="48" t="s">
        <v>299</v>
      </c>
      <c r="E28" s="3" t="s">
        <v>300</v>
      </c>
      <c r="F28" s="3" t="n">
        <v>6</v>
      </c>
      <c r="G28" s="3" t="s">
        <v>301</v>
      </c>
      <c r="H28" s="3" t="s">
        <v>135</v>
      </c>
      <c r="K28" s="3" t="s">
        <v>136</v>
      </c>
      <c r="L28" s="3" t="n">
        <v>1157.17</v>
      </c>
      <c r="N28" s="3" t="s">
        <v>302</v>
      </c>
      <c r="P28" s="3" t="s">
        <v>138</v>
      </c>
      <c r="Q28" s="3" t="s">
        <v>139</v>
      </c>
      <c r="R28" s="3" t="s">
        <v>303</v>
      </c>
      <c r="S28" s="3" t="s">
        <v>139</v>
      </c>
      <c r="T28" s="3" t="n">
        <v>2025</v>
      </c>
    </row>
    <row r="29" customFormat="false" ht="13.8" hidden="false" customHeight="false" outlineLevel="0" collapsed="false">
      <c r="A29" s="3" t="s">
        <v>129</v>
      </c>
      <c r="B29" s="3" t="s">
        <v>304</v>
      </c>
      <c r="C29" s="48" t="s">
        <v>305</v>
      </c>
      <c r="D29" s="3" t="s">
        <v>306</v>
      </c>
      <c r="E29" s="3" t="s">
        <v>307</v>
      </c>
      <c r="F29" s="3" t="n">
        <v>5</v>
      </c>
      <c r="G29" s="3" t="s">
        <v>308</v>
      </c>
      <c r="H29" s="3" t="s">
        <v>135</v>
      </c>
      <c r="K29" s="3" t="s">
        <v>136</v>
      </c>
      <c r="L29" s="3" t="n">
        <v>1130.04</v>
      </c>
      <c r="N29" s="3" t="s">
        <v>309</v>
      </c>
      <c r="P29" s="3" t="s">
        <v>138</v>
      </c>
      <c r="Q29" s="3" t="s">
        <v>139</v>
      </c>
      <c r="R29" s="3" t="s">
        <v>310</v>
      </c>
      <c r="S29" s="3" t="s">
        <v>139</v>
      </c>
      <c r="T29" s="3" t="n">
        <v>2025</v>
      </c>
    </row>
    <row r="30" customFormat="false" ht="13.8" hidden="false" customHeight="false" outlineLevel="0" collapsed="false">
      <c r="A30" s="3" t="s">
        <v>129</v>
      </c>
      <c r="B30" s="3" t="s">
        <v>311</v>
      </c>
      <c r="C30" s="48" t="s">
        <v>312</v>
      </c>
      <c r="D30" s="3" t="s">
        <v>313</v>
      </c>
      <c r="E30" s="3" t="s">
        <v>314</v>
      </c>
      <c r="F30" s="3" t="n">
        <v>1</v>
      </c>
      <c r="G30" s="3" t="s">
        <v>315</v>
      </c>
      <c r="H30" s="3" t="s">
        <v>135</v>
      </c>
      <c r="K30" s="3" t="s">
        <v>136</v>
      </c>
      <c r="L30" s="3" t="n">
        <v>357.36</v>
      </c>
      <c r="N30" s="3" t="s">
        <v>316</v>
      </c>
      <c r="P30" s="3" t="s">
        <v>138</v>
      </c>
      <c r="Q30" s="3" t="s">
        <v>139</v>
      </c>
      <c r="R30" s="3" t="s">
        <v>317</v>
      </c>
      <c r="S30" s="3" t="s">
        <v>139</v>
      </c>
      <c r="T30" s="3" t="n">
        <v>2025</v>
      </c>
    </row>
    <row r="31" customFormat="false" ht="13.8" hidden="false" customHeight="false" outlineLevel="0" collapsed="false">
      <c r="A31" s="3" t="s">
        <v>129</v>
      </c>
      <c r="B31" s="3" t="s">
        <v>318</v>
      </c>
      <c r="C31" s="48" t="s">
        <v>240</v>
      </c>
      <c r="D31" s="3" t="s">
        <v>319</v>
      </c>
      <c r="E31" s="3" t="s">
        <v>320</v>
      </c>
      <c r="F31" s="3" t="n">
        <v>5</v>
      </c>
      <c r="G31" s="3" t="s">
        <v>321</v>
      </c>
      <c r="H31" s="3" t="s">
        <v>135</v>
      </c>
      <c r="K31" s="3" t="s">
        <v>136</v>
      </c>
      <c r="L31" s="3" t="n">
        <v>1563.72</v>
      </c>
      <c r="N31" s="3" t="s">
        <v>322</v>
      </c>
      <c r="P31" s="3" t="s">
        <v>138</v>
      </c>
      <c r="Q31" s="3" t="s">
        <v>139</v>
      </c>
      <c r="R31" s="3" t="s">
        <v>323</v>
      </c>
      <c r="S31" s="3" t="s">
        <v>139</v>
      </c>
      <c r="T31" s="3" t="n">
        <v>2025</v>
      </c>
    </row>
    <row r="33" customFormat="false" ht="13.8" hidden="false" customHeight="false" outlineLevel="0" collapsed="false">
      <c r="A33" s="3" t="s">
        <v>324</v>
      </c>
      <c r="B33" s="3" t="s">
        <v>325</v>
      </c>
      <c r="C33" s="3" t="s">
        <v>112</v>
      </c>
      <c r="D33" s="3" t="s">
        <v>326</v>
      </c>
      <c r="E33" s="3" t="s">
        <v>327</v>
      </c>
      <c r="F33" s="3" t="s">
        <v>115</v>
      </c>
      <c r="G33" s="3" t="s">
        <v>328</v>
      </c>
      <c r="H33" s="3" t="s">
        <v>329</v>
      </c>
      <c r="I33" s="3" t="s">
        <v>118</v>
      </c>
      <c r="J33" s="3" t="s">
        <v>330</v>
      </c>
      <c r="K33" s="3" t="s">
        <v>120</v>
      </c>
      <c r="L33" s="3" t="s">
        <v>40</v>
      </c>
      <c r="M33" s="3" t="s">
        <v>121</v>
      </c>
      <c r="N33" s="3" t="s">
        <v>331</v>
      </c>
      <c r="O33" s="3" t="s">
        <v>332</v>
      </c>
      <c r="P33" s="3" t="s">
        <v>124</v>
      </c>
      <c r="Q33" s="3" t="s">
        <v>126</v>
      </c>
      <c r="R33" s="3" t="s">
        <v>333</v>
      </c>
      <c r="S33" s="3" t="s">
        <v>128</v>
      </c>
    </row>
    <row r="34" customFormat="false" ht="13.8" hidden="false" customHeight="false" outlineLevel="0" collapsed="false">
      <c r="A34" s="3" t="s">
        <v>129</v>
      </c>
      <c r="B34" s="3" t="s">
        <v>334</v>
      </c>
      <c r="C34" s="3" t="s">
        <v>256</v>
      </c>
      <c r="D34" s="3" t="s">
        <v>320</v>
      </c>
      <c r="E34" s="48" t="s">
        <v>335</v>
      </c>
      <c r="F34" s="3" t="n">
        <v>4</v>
      </c>
      <c r="G34" s="3" t="s">
        <v>336</v>
      </c>
      <c r="H34" s="3" t="s">
        <v>135</v>
      </c>
      <c r="K34" s="3" t="s">
        <v>136</v>
      </c>
      <c r="L34" s="3" t="n">
        <v>982.28</v>
      </c>
      <c r="N34" s="3" t="s">
        <v>337</v>
      </c>
      <c r="P34" s="3" t="s">
        <v>138</v>
      </c>
      <c r="Q34" s="3" t="s">
        <v>338</v>
      </c>
      <c r="R34" s="3" t="s">
        <v>139</v>
      </c>
      <c r="S34" s="3" t="n">
        <v>2025</v>
      </c>
    </row>
    <row r="35" customFormat="false" ht="13.8" hidden="false" customHeight="false" outlineLevel="0" collapsed="false">
      <c r="A35" s="3" t="s">
        <v>129</v>
      </c>
      <c r="B35" s="3" t="s">
        <v>339</v>
      </c>
      <c r="C35" s="3" t="s">
        <v>313</v>
      </c>
      <c r="D35" s="48" t="s">
        <v>335</v>
      </c>
      <c r="E35" s="48" t="s">
        <v>340</v>
      </c>
      <c r="F35" s="3" t="n">
        <v>3</v>
      </c>
      <c r="G35" s="3" t="s">
        <v>341</v>
      </c>
      <c r="H35" s="3" t="s">
        <v>135</v>
      </c>
      <c r="K35" s="3" t="s">
        <v>136</v>
      </c>
      <c r="L35" s="3" t="n">
        <v>792.21</v>
      </c>
      <c r="N35" s="3" t="s">
        <v>342</v>
      </c>
      <c r="P35" s="3" t="s">
        <v>138</v>
      </c>
      <c r="Q35" s="3" t="s">
        <v>343</v>
      </c>
      <c r="R35" s="3" t="s">
        <v>139</v>
      </c>
      <c r="S35" s="3" t="n">
        <v>2025</v>
      </c>
    </row>
    <row r="36" customFormat="false" ht="13.8" hidden="false" customHeight="false" outlineLevel="0" collapsed="false">
      <c r="A36" s="3" t="s">
        <v>129</v>
      </c>
      <c r="B36" s="3" t="s">
        <v>344</v>
      </c>
      <c r="C36" s="3" t="s">
        <v>345</v>
      </c>
      <c r="D36" s="48" t="s">
        <v>346</v>
      </c>
      <c r="E36" s="48" t="s">
        <v>347</v>
      </c>
      <c r="F36" s="3" t="n">
        <v>2</v>
      </c>
      <c r="G36" s="3" t="s">
        <v>348</v>
      </c>
      <c r="H36" s="3" t="s">
        <v>135</v>
      </c>
      <c r="K36" s="3" t="s">
        <v>136</v>
      </c>
      <c r="L36" s="3" t="n">
        <v>467.68</v>
      </c>
      <c r="N36" s="3" t="s">
        <v>349</v>
      </c>
      <c r="P36" s="3" t="s">
        <v>138</v>
      </c>
      <c r="Q36" s="3" t="s">
        <v>350</v>
      </c>
      <c r="R36" s="3" t="s">
        <v>139</v>
      </c>
      <c r="S36" s="3" t="n">
        <v>2025</v>
      </c>
    </row>
    <row r="37" customFormat="false" ht="13.8" hidden="false" customHeight="false" outlineLevel="0" collapsed="false">
      <c r="A37" s="3" t="s">
        <v>129</v>
      </c>
      <c r="B37" s="3" t="s">
        <v>351</v>
      </c>
      <c r="C37" s="48" t="s">
        <v>352</v>
      </c>
      <c r="D37" s="48" t="s">
        <v>347</v>
      </c>
      <c r="E37" s="48" t="s">
        <v>353</v>
      </c>
      <c r="F37" s="3" t="n">
        <v>4</v>
      </c>
      <c r="G37" s="3" t="s">
        <v>354</v>
      </c>
      <c r="H37" s="3" t="s">
        <v>135</v>
      </c>
      <c r="K37" s="3" t="s">
        <v>136</v>
      </c>
      <c r="L37" s="3" t="n">
        <v>933.48</v>
      </c>
      <c r="N37" s="3" t="s">
        <v>355</v>
      </c>
      <c r="P37" s="3" t="s">
        <v>138</v>
      </c>
      <c r="Q37" s="3" t="s">
        <v>356</v>
      </c>
      <c r="R37" s="3" t="s">
        <v>139</v>
      </c>
      <c r="S37" s="3" t="n">
        <v>2025</v>
      </c>
    </row>
    <row r="38" customFormat="false" ht="13.8" hidden="false" customHeight="false" outlineLevel="0" collapsed="false">
      <c r="A38" s="3" t="s">
        <v>129</v>
      </c>
      <c r="B38" s="3" t="s">
        <v>357</v>
      </c>
      <c r="C38" s="3" t="s">
        <v>358</v>
      </c>
      <c r="D38" s="3" t="s">
        <v>359</v>
      </c>
      <c r="E38" s="3" t="s">
        <v>360</v>
      </c>
      <c r="F38" s="3" t="n">
        <v>2</v>
      </c>
      <c r="G38" s="3" t="s">
        <v>361</v>
      </c>
      <c r="H38" s="3" t="s">
        <v>135</v>
      </c>
      <c r="K38" s="3" t="s">
        <v>136</v>
      </c>
      <c r="L38" s="3" t="n">
        <v>517.31</v>
      </c>
      <c r="N38" s="3" t="s">
        <v>362</v>
      </c>
      <c r="P38" s="3" t="s">
        <v>138</v>
      </c>
      <c r="Q38" s="3" t="s">
        <v>363</v>
      </c>
      <c r="R38" s="3" t="s">
        <v>139</v>
      </c>
      <c r="S38" s="3" t="n">
        <v>2025</v>
      </c>
    </row>
    <row r="39" customFormat="false" ht="13.8" hidden="false" customHeight="false" outlineLevel="0" collapsed="false">
      <c r="A39" s="3" t="s">
        <v>129</v>
      </c>
      <c r="B39" s="3" t="s">
        <v>364</v>
      </c>
      <c r="C39" s="3" t="s">
        <v>306</v>
      </c>
      <c r="D39" s="3" t="s">
        <v>360</v>
      </c>
      <c r="E39" s="3" t="s">
        <v>365</v>
      </c>
      <c r="F39" s="3" t="n">
        <v>2</v>
      </c>
      <c r="G39" s="3" t="s">
        <v>366</v>
      </c>
      <c r="H39" s="3" t="s">
        <v>135</v>
      </c>
      <c r="K39" s="3" t="s">
        <v>136</v>
      </c>
      <c r="L39" s="3" t="n">
        <v>733.08</v>
      </c>
      <c r="N39" s="3" t="s">
        <v>367</v>
      </c>
      <c r="P39" s="3" t="s">
        <v>138</v>
      </c>
      <c r="Q39" s="3" t="s">
        <v>368</v>
      </c>
      <c r="R39" s="3" t="s">
        <v>139</v>
      </c>
      <c r="S39" s="3" t="n">
        <v>2025</v>
      </c>
    </row>
    <row r="40" customFormat="false" ht="13.8" hidden="false" customHeight="false" outlineLevel="0" collapsed="false">
      <c r="A40" s="3" t="s">
        <v>129</v>
      </c>
      <c r="B40" s="3" t="s">
        <v>369</v>
      </c>
      <c r="C40" s="48" t="s">
        <v>370</v>
      </c>
      <c r="D40" s="3" t="s">
        <v>365</v>
      </c>
      <c r="E40" s="3" t="s">
        <v>371</v>
      </c>
      <c r="F40" s="3" t="n">
        <v>3</v>
      </c>
      <c r="G40" s="3" t="s">
        <v>372</v>
      </c>
      <c r="H40" s="3" t="s">
        <v>135</v>
      </c>
      <c r="K40" s="3" t="s">
        <v>136</v>
      </c>
      <c r="L40" s="3" t="n">
        <v>658.58</v>
      </c>
      <c r="N40" s="3" t="s">
        <v>373</v>
      </c>
      <c r="P40" s="3" t="s">
        <v>138</v>
      </c>
      <c r="Q40" s="3" t="s">
        <v>374</v>
      </c>
      <c r="R40" s="3" t="s">
        <v>139</v>
      </c>
      <c r="S40" s="3" t="n">
        <v>2025</v>
      </c>
    </row>
    <row r="41" customFormat="false" ht="13.8" hidden="false" customHeight="false" outlineLevel="0" collapsed="false">
      <c r="A41" s="3" t="s">
        <v>129</v>
      </c>
      <c r="B41" s="3" t="s">
        <v>375</v>
      </c>
      <c r="C41" s="3" t="s">
        <v>320</v>
      </c>
      <c r="D41" s="3" t="s">
        <v>376</v>
      </c>
      <c r="E41" s="3" t="s">
        <v>377</v>
      </c>
      <c r="F41" s="3" t="n">
        <v>6</v>
      </c>
      <c r="G41" s="3" t="s">
        <v>378</v>
      </c>
      <c r="H41" s="3" t="s">
        <v>135</v>
      </c>
      <c r="K41" s="3" t="s">
        <v>136</v>
      </c>
      <c r="L41" s="3" t="n">
        <v>1388.76</v>
      </c>
      <c r="N41" s="3" t="s">
        <v>379</v>
      </c>
      <c r="P41" s="3" t="s">
        <v>138</v>
      </c>
      <c r="Q41" s="3" t="s">
        <v>380</v>
      </c>
      <c r="R41" s="3" t="s">
        <v>139</v>
      </c>
      <c r="S41" s="3" t="n">
        <v>2025</v>
      </c>
    </row>
    <row r="42" customFormat="false" ht="13.8" hidden="false" customHeight="false" outlineLevel="0" collapsed="false">
      <c r="A42" s="3" t="s">
        <v>129</v>
      </c>
      <c r="B42" s="3" t="s">
        <v>381</v>
      </c>
      <c r="C42" s="48" t="s">
        <v>340</v>
      </c>
      <c r="D42" s="3" t="s">
        <v>377</v>
      </c>
      <c r="E42" s="3" t="s">
        <v>382</v>
      </c>
      <c r="F42" s="3" t="n">
        <v>2</v>
      </c>
      <c r="G42" s="3" t="s">
        <v>383</v>
      </c>
      <c r="H42" s="3" t="s">
        <v>135</v>
      </c>
      <c r="K42" s="3" t="s">
        <v>136</v>
      </c>
      <c r="L42" s="3" t="n">
        <v>715.85</v>
      </c>
      <c r="N42" s="3" t="s">
        <v>384</v>
      </c>
      <c r="P42" s="3" t="s">
        <v>138</v>
      </c>
      <c r="Q42" s="3" t="s">
        <v>385</v>
      </c>
      <c r="R42" s="3" t="s">
        <v>139</v>
      </c>
      <c r="S42" s="3" t="n">
        <v>2025</v>
      </c>
    </row>
    <row r="45" customFormat="false" ht="13.8" hidden="false" customHeight="false" outlineLevel="0" collapsed="false">
      <c r="A45" s="3" t="s">
        <v>324</v>
      </c>
      <c r="B45" s="3" t="s">
        <v>325</v>
      </c>
      <c r="C45" s="3" t="s">
        <v>112</v>
      </c>
      <c r="D45" s="3" t="s">
        <v>326</v>
      </c>
      <c r="E45" s="3" t="s">
        <v>327</v>
      </c>
      <c r="F45" s="3" t="s">
        <v>115</v>
      </c>
      <c r="G45" s="3" t="s">
        <v>328</v>
      </c>
      <c r="H45" s="3" t="s">
        <v>329</v>
      </c>
      <c r="I45" s="3" t="s">
        <v>386</v>
      </c>
      <c r="J45" s="3" t="s">
        <v>330</v>
      </c>
      <c r="K45" s="3" t="s">
        <v>120</v>
      </c>
      <c r="L45" s="49" t="s">
        <v>40</v>
      </c>
      <c r="M45" s="3" t="s">
        <v>121</v>
      </c>
      <c r="N45" s="3" t="s">
        <v>331</v>
      </c>
      <c r="O45" s="3" t="s">
        <v>332</v>
      </c>
      <c r="P45" s="3" t="s">
        <v>124</v>
      </c>
      <c r="Q45" s="3" t="s">
        <v>126</v>
      </c>
      <c r="R45" s="3" t="s">
        <v>333</v>
      </c>
      <c r="S45" s="3" t="s">
        <v>128</v>
      </c>
    </row>
    <row r="46" customFormat="false" ht="13.8" hidden="false" customHeight="false" outlineLevel="0" collapsed="false">
      <c r="C46" s="48"/>
      <c r="D46" s="48"/>
      <c r="E46" s="48"/>
    </row>
    <row r="47" customFormat="false" ht="13.8" hidden="false" customHeight="false" outlineLevel="0" collapsed="false">
      <c r="A47" s="3" t="s">
        <v>129</v>
      </c>
      <c r="B47" s="3" t="s">
        <v>387</v>
      </c>
      <c r="C47" s="3" t="s">
        <v>388</v>
      </c>
      <c r="D47" s="48" t="s">
        <v>389</v>
      </c>
      <c r="E47" s="48" t="s">
        <v>390</v>
      </c>
      <c r="F47" s="3" t="n">
        <v>5</v>
      </c>
      <c r="G47" s="3" t="s">
        <v>391</v>
      </c>
      <c r="H47" s="3" t="s">
        <v>135</v>
      </c>
      <c r="K47" s="3" t="s">
        <v>136</v>
      </c>
      <c r="L47" s="3" t="n">
        <v>1448.89</v>
      </c>
      <c r="N47" s="3" t="s">
        <v>392</v>
      </c>
      <c r="P47" s="3" t="s">
        <v>138</v>
      </c>
      <c r="Q47" s="3" t="s">
        <v>393</v>
      </c>
      <c r="R47" s="3" t="s">
        <v>139</v>
      </c>
      <c r="S47" s="3" t="n">
        <v>2025</v>
      </c>
    </row>
    <row r="48" customFormat="false" ht="13.8" hidden="false" customHeight="false" outlineLevel="0" collapsed="false">
      <c r="A48" s="3" t="s">
        <v>129</v>
      </c>
      <c r="B48" s="3" t="s">
        <v>394</v>
      </c>
      <c r="C48" s="3" t="s">
        <v>395</v>
      </c>
      <c r="D48" s="48" t="s">
        <v>390</v>
      </c>
      <c r="E48" s="48" t="s">
        <v>396</v>
      </c>
      <c r="F48" s="3" t="n">
        <v>2</v>
      </c>
      <c r="G48" s="3" t="s">
        <v>397</v>
      </c>
      <c r="H48" s="3" t="s">
        <v>135</v>
      </c>
      <c r="K48" s="3" t="s">
        <v>136</v>
      </c>
      <c r="L48" s="3" t="n">
        <v>731.12</v>
      </c>
      <c r="N48" s="3" t="s">
        <v>398</v>
      </c>
      <c r="P48" s="3" t="s">
        <v>138</v>
      </c>
      <c r="Q48" s="3" t="s">
        <v>399</v>
      </c>
      <c r="R48" s="3" t="s">
        <v>139</v>
      </c>
      <c r="S48" s="3" t="n">
        <v>2025</v>
      </c>
    </row>
    <row r="49" customFormat="false" ht="13.8" hidden="false" customHeight="false" outlineLevel="0" collapsed="false">
      <c r="A49" s="3" t="s">
        <v>129</v>
      </c>
      <c r="B49" s="3" t="s">
        <v>400</v>
      </c>
      <c r="C49" s="3" t="s">
        <v>401</v>
      </c>
      <c r="D49" s="48" t="s">
        <v>396</v>
      </c>
      <c r="E49" s="3" t="s">
        <v>402</v>
      </c>
      <c r="F49" s="3" t="n">
        <v>8</v>
      </c>
      <c r="G49" s="3" t="s">
        <v>403</v>
      </c>
      <c r="H49" s="3" t="s">
        <v>135</v>
      </c>
      <c r="K49" s="3" t="s">
        <v>136</v>
      </c>
      <c r="L49" s="3" t="n">
        <v>2544.61</v>
      </c>
      <c r="N49" s="3" t="s">
        <v>404</v>
      </c>
      <c r="P49" s="3" t="s">
        <v>138</v>
      </c>
      <c r="Q49" s="3" t="s">
        <v>405</v>
      </c>
      <c r="R49" s="3" t="s">
        <v>139</v>
      </c>
      <c r="S49" s="3" t="n">
        <v>2025</v>
      </c>
    </row>
    <row r="50" customFormat="false" ht="13.8" hidden="false" customHeight="false" outlineLevel="0" collapsed="false">
      <c r="A50" s="3" t="s">
        <v>129</v>
      </c>
      <c r="B50" s="3" t="s">
        <v>406</v>
      </c>
      <c r="C50" s="48" t="s">
        <v>407</v>
      </c>
      <c r="D50" s="3" t="s">
        <v>402</v>
      </c>
      <c r="E50" s="3" t="s">
        <v>408</v>
      </c>
      <c r="F50" s="3" t="n">
        <v>3</v>
      </c>
      <c r="G50" s="3" t="s">
        <v>308</v>
      </c>
      <c r="H50" s="3" t="s">
        <v>135</v>
      </c>
      <c r="K50" s="3" t="s">
        <v>136</v>
      </c>
      <c r="L50" s="3" t="n">
        <v>811.3</v>
      </c>
      <c r="N50" s="3" t="s">
        <v>409</v>
      </c>
      <c r="P50" s="3" t="s">
        <v>138</v>
      </c>
      <c r="Q50" s="3" t="s">
        <v>410</v>
      </c>
      <c r="R50" s="3" t="s">
        <v>139</v>
      </c>
      <c r="S50" s="3" t="n">
        <v>2025</v>
      </c>
    </row>
    <row r="51" customFormat="false" ht="13.8" hidden="false" customHeight="false" outlineLevel="0" collapsed="false">
      <c r="A51" s="3" t="s">
        <v>129</v>
      </c>
      <c r="B51" s="3" t="s">
        <v>411</v>
      </c>
      <c r="C51" s="3" t="s">
        <v>320</v>
      </c>
      <c r="D51" s="3" t="s">
        <v>408</v>
      </c>
      <c r="E51" s="3" t="s">
        <v>412</v>
      </c>
      <c r="F51" s="3" t="n">
        <v>7</v>
      </c>
      <c r="G51" s="3" t="s">
        <v>413</v>
      </c>
      <c r="H51" s="3" t="s">
        <v>135</v>
      </c>
      <c r="K51" s="3" t="s">
        <v>136</v>
      </c>
      <c r="L51" s="3" t="n">
        <v>1460.34</v>
      </c>
      <c r="N51" s="3" t="s">
        <v>414</v>
      </c>
      <c r="P51" s="3" t="s">
        <v>138</v>
      </c>
      <c r="Q51" s="3" t="s">
        <v>415</v>
      </c>
      <c r="R51" s="3" t="s">
        <v>139</v>
      </c>
      <c r="S51" s="3" t="n">
        <v>2025</v>
      </c>
    </row>
    <row r="52" customFormat="false" ht="13.8" hidden="false" customHeight="false" outlineLevel="0" collapsed="false">
      <c r="A52" s="3" t="s">
        <v>416</v>
      </c>
      <c r="B52" s="3" t="s">
        <v>411</v>
      </c>
      <c r="D52" s="3" t="s">
        <v>408</v>
      </c>
      <c r="E52" s="3" t="s">
        <v>412</v>
      </c>
      <c r="F52" s="3" t="n">
        <v>0</v>
      </c>
      <c r="G52" s="3" t="s">
        <v>413</v>
      </c>
      <c r="H52" s="3" t="s">
        <v>135</v>
      </c>
      <c r="I52" s="3" t="s">
        <v>417</v>
      </c>
      <c r="K52" s="3" t="s">
        <v>136</v>
      </c>
      <c r="L52" s="3" t="n">
        <v>114</v>
      </c>
      <c r="Q52" s="3" t="s">
        <v>418</v>
      </c>
      <c r="S52" s="3" t="n">
        <v>2025</v>
      </c>
    </row>
    <row r="53" customFormat="false" ht="13.8" hidden="false" customHeight="false" outlineLevel="0" collapsed="false"/>
    <row r="55" s="50" customFormat="true" ht="13.8" hidden="false" customHeight="true" outlineLevel="0" collapsed="false">
      <c r="A55" s="50" t="s">
        <v>324</v>
      </c>
      <c r="B55" s="50" t="s">
        <v>325</v>
      </c>
      <c r="C55" s="50" t="s">
        <v>112</v>
      </c>
      <c r="D55" s="50" t="s">
        <v>326</v>
      </c>
      <c r="E55" s="50" t="s">
        <v>327</v>
      </c>
      <c r="F55" s="50" t="s">
        <v>115</v>
      </c>
      <c r="G55" s="50" t="s">
        <v>328</v>
      </c>
      <c r="H55" s="50" t="s">
        <v>329</v>
      </c>
      <c r="I55" s="50" t="s">
        <v>386</v>
      </c>
      <c r="J55" s="50" t="s">
        <v>330</v>
      </c>
      <c r="K55" s="50" t="s">
        <v>120</v>
      </c>
      <c r="L55" s="50" t="s">
        <v>40</v>
      </c>
      <c r="M55" s="50" t="s">
        <v>121</v>
      </c>
      <c r="N55" s="50" t="s">
        <v>331</v>
      </c>
      <c r="O55" s="50" t="s">
        <v>332</v>
      </c>
      <c r="P55" s="50" t="s">
        <v>124</v>
      </c>
      <c r="Q55" s="50" t="s">
        <v>126</v>
      </c>
      <c r="R55" s="50" t="s">
        <v>333</v>
      </c>
      <c r="S55" s="50" t="s">
        <v>128</v>
      </c>
    </row>
    <row r="56" s="50" customFormat="true" ht="13.8" hidden="false" customHeight="true" outlineLevel="0" collapsed="false">
      <c r="A56" s="50" t="s">
        <v>129</v>
      </c>
      <c r="B56" s="50" t="s">
        <v>419</v>
      </c>
      <c r="C56" s="50" t="s">
        <v>420</v>
      </c>
      <c r="D56" s="48" t="s">
        <v>421</v>
      </c>
      <c r="E56" s="48" t="s">
        <v>422</v>
      </c>
      <c r="F56" s="50" t="n">
        <v>5</v>
      </c>
      <c r="G56" s="50" t="s">
        <v>423</v>
      </c>
      <c r="H56" s="50" t="s">
        <v>135</v>
      </c>
      <c r="K56" s="50" t="s">
        <v>136</v>
      </c>
      <c r="L56" s="50" t="n">
        <v>1296.17</v>
      </c>
      <c r="N56" s="50" t="s">
        <v>424</v>
      </c>
      <c r="P56" s="50" t="s">
        <v>138</v>
      </c>
      <c r="Q56" s="50" t="s">
        <v>425</v>
      </c>
      <c r="R56" s="50" t="s">
        <v>139</v>
      </c>
      <c r="S56" s="50" t="n">
        <v>2025</v>
      </c>
    </row>
    <row r="57" s="50" customFormat="true" ht="13.8" hidden="false" customHeight="true" outlineLevel="0" collapsed="false">
      <c r="A57" s="50" t="s">
        <v>416</v>
      </c>
      <c r="B57" s="50" t="s">
        <v>419</v>
      </c>
      <c r="D57" s="48" t="s">
        <v>421</v>
      </c>
      <c r="E57" s="48" t="s">
        <v>422</v>
      </c>
      <c r="F57" s="50" t="n">
        <v>5</v>
      </c>
      <c r="G57" s="50" t="s">
        <v>423</v>
      </c>
      <c r="H57" s="50" t="s">
        <v>135</v>
      </c>
      <c r="I57" s="50" t="s">
        <v>426</v>
      </c>
      <c r="K57" s="50" t="s">
        <v>136</v>
      </c>
      <c r="L57" s="50" t="n">
        <v>160</v>
      </c>
      <c r="Q57" s="50" t="s">
        <v>427</v>
      </c>
      <c r="S57" s="50" t="n">
        <v>2025</v>
      </c>
    </row>
    <row r="58" s="50" customFormat="true" ht="13.8" hidden="false" customHeight="true" outlineLevel="0" collapsed="false">
      <c r="A58" s="50" t="s">
        <v>129</v>
      </c>
      <c r="B58" s="50" t="s">
        <v>428</v>
      </c>
      <c r="C58" s="48" t="s">
        <v>429</v>
      </c>
      <c r="D58" s="48" t="s">
        <v>430</v>
      </c>
      <c r="E58" s="48" t="s">
        <v>431</v>
      </c>
      <c r="F58" s="50" t="n">
        <v>2</v>
      </c>
      <c r="G58" s="50" t="s">
        <v>432</v>
      </c>
      <c r="H58" s="50" t="s">
        <v>135</v>
      </c>
      <c r="K58" s="50" t="s">
        <v>136</v>
      </c>
      <c r="L58" s="50" t="n">
        <v>448.6</v>
      </c>
      <c r="N58" s="50" t="s">
        <v>433</v>
      </c>
      <c r="P58" s="50" t="s">
        <v>138</v>
      </c>
      <c r="Q58" s="50" t="s">
        <v>434</v>
      </c>
      <c r="R58" s="50" t="s">
        <v>139</v>
      </c>
      <c r="S58" s="50" t="n">
        <v>2025</v>
      </c>
    </row>
    <row r="59" s="50" customFormat="true" ht="13.8" hidden="false" customHeight="true" outlineLevel="0" collapsed="false">
      <c r="A59" s="50" t="s">
        <v>129</v>
      </c>
      <c r="B59" s="50" t="s">
        <v>435</v>
      </c>
      <c r="C59" s="48" t="s">
        <v>436</v>
      </c>
      <c r="D59" s="48" t="s">
        <v>431</v>
      </c>
      <c r="E59" s="50" t="s">
        <v>437</v>
      </c>
      <c r="F59" s="50" t="n">
        <v>4</v>
      </c>
      <c r="G59" s="50" t="s">
        <v>438</v>
      </c>
      <c r="H59" s="50" t="s">
        <v>135</v>
      </c>
      <c r="K59" s="50" t="s">
        <v>136</v>
      </c>
      <c r="L59" s="50" t="n">
        <v>1212.18</v>
      </c>
      <c r="N59" s="50" t="s">
        <v>439</v>
      </c>
      <c r="P59" s="50" t="s">
        <v>138</v>
      </c>
      <c r="Q59" s="50" t="s">
        <v>440</v>
      </c>
      <c r="R59" s="50" t="s">
        <v>139</v>
      </c>
      <c r="S59" s="50" t="n">
        <v>2025</v>
      </c>
    </row>
    <row r="60" s="50" customFormat="true" ht="13.8" hidden="false" customHeight="true" outlineLevel="0" collapsed="false">
      <c r="A60" s="50" t="s">
        <v>129</v>
      </c>
      <c r="B60" s="50" t="s">
        <v>441</v>
      </c>
      <c r="C60" s="48" t="s">
        <v>442</v>
      </c>
      <c r="D60" s="50" t="s">
        <v>443</v>
      </c>
      <c r="E60" s="50" t="s">
        <v>444</v>
      </c>
      <c r="F60" s="50" t="n">
        <v>2</v>
      </c>
      <c r="G60" s="50" t="s">
        <v>445</v>
      </c>
      <c r="H60" s="50" t="s">
        <v>135</v>
      </c>
      <c r="K60" s="50" t="s">
        <v>136</v>
      </c>
      <c r="L60" s="50" t="n">
        <v>559.32</v>
      </c>
      <c r="N60" s="50" t="s">
        <v>446</v>
      </c>
      <c r="P60" s="50" t="s">
        <v>138</v>
      </c>
      <c r="Q60" s="50" t="s">
        <v>447</v>
      </c>
      <c r="R60" s="50" t="s">
        <v>139</v>
      </c>
      <c r="S60" s="50" t="n">
        <v>2025</v>
      </c>
    </row>
    <row r="61" s="50" customFormat="true" ht="13.8" hidden="false" customHeight="true" outlineLevel="0" collapsed="false">
      <c r="A61" s="50" t="s">
        <v>129</v>
      </c>
      <c r="B61" s="50" t="s">
        <v>448</v>
      </c>
      <c r="C61" s="48" t="s">
        <v>430</v>
      </c>
      <c r="D61" s="50" t="s">
        <v>444</v>
      </c>
      <c r="E61" s="50" t="s">
        <v>449</v>
      </c>
      <c r="F61" s="50" t="n">
        <v>2</v>
      </c>
      <c r="G61" s="50" t="s">
        <v>450</v>
      </c>
      <c r="H61" s="50" t="s">
        <v>135</v>
      </c>
      <c r="K61" s="50" t="s">
        <v>136</v>
      </c>
      <c r="L61" s="50" t="n">
        <v>715.85</v>
      </c>
      <c r="N61" s="50" t="s">
        <v>384</v>
      </c>
      <c r="P61" s="50" t="s">
        <v>138</v>
      </c>
      <c r="Q61" s="50" t="s">
        <v>385</v>
      </c>
      <c r="R61" s="50" t="s">
        <v>139</v>
      </c>
      <c r="S61" s="50" t="n">
        <v>2025</v>
      </c>
    </row>
    <row r="62" s="50" customFormat="true" ht="13.8" hidden="false" customHeight="true" outlineLevel="0" collapsed="false">
      <c r="A62" s="50" t="s">
        <v>129</v>
      </c>
      <c r="B62" s="50" t="s">
        <v>451</v>
      </c>
      <c r="C62" s="48" t="s">
        <v>452</v>
      </c>
      <c r="D62" s="50" t="s">
        <v>453</v>
      </c>
      <c r="E62" s="50" t="s">
        <v>454</v>
      </c>
      <c r="F62" s="50" t="n">
        <v>4</v>
      </c>
      <c r="G62" s="50" t="s">
        <v>455</v>
      </c>
      <c r="H62" s="50" t="s">
        <v>135</v>
      </c>
      <c r="K62" s="50" t="s">
        <v>136</v>
      </c>
      <c r="L62" s="50" t="n">
        <v>1212.18</v>
      </c>
      <c r="N62" s="50" t="s">
        <v>439</v>
      </c>
      <c r="P62" s="50" t="s">
        <v>138</v>
      </c>
      <c r="Q62" s="50" t="s">
        <v>440</v>
      </c>
      <c r="R62" s="50" t="s">
        <v>139</v>
      </c>
      <c r="S62" s="50" t="n">
        <v>2025</v>
      </c>
    </row>
    <row r="63" s="50" customFormat="true" ht="13.8" hidden="false" customHeight="false" outlineLevel="0" collapsed="false">
      <c r="A63" s="50" t="s">
        <v>129</v>
      </c>
      <c r="B63" s="50" t="s">
        <v>456</v>
      </c>
      <c r="C63" s="48" t="s">
        <v>421</v>
      </c>
      <c r="D63" s="50" t="s">
        <v>457</v>
      </c>
      <c r="E63" s="48" t="s">
        <v>458</v>
      </c>
      <c r="F63" s="50" t="n">
        <v>4</v>
      </c>
      <c r="G63" s="50" t="s">
        <v>459</v>
      </c>
      <c r="H63" s="50" t="s">
        <v>135</v>
      </c>
      <c r="K63" s="50" t="s">
        <v>136</v>
      </c>
      <c r="L63" s="50" t="n">
        <v>1078.55</v>
      </c>
      <c r="N63" s="50" t="s">
        <v>460</v>
      </c>
      <c r="P63" s="50" t="s">
        <v>138</v>
      </c>
      <c r="Q63" s="50" t="s">
        <v>461</v>
      </c>
      <c r="R63" s="50" t="s">
        <v>139</v>
      </c>
      <c r="S63" s="50" t="n">
        <v>2025</v>
      </c>
    </row>
    <row r="66" customFormat="false" ht="13.8" hidden="false" customHeight="false" outlineLevel="0" collapsed="false">
      <c r="A66" s="3" t="s">
        <v>324</v>
      </c>
      <c r="B66" s="3" t="s">
        <v>325</v>
      </c>
      <c r="C66" s="3" t="s">
        <v>112</v>
      </c>
      <c r="D66" s="3" t="s">
        <v>326</v>
      </c>
      <c r="E66" s="3" t="s">
        <v>327</v>
      </c>
      <c r="F66" s="3" t="s">
        <v>115</v>
      </c>
      <c r="G66" s="3" t="s">
        <v>328</v>
      </c>
      <c r="H66" s="3" t="s">
        <v>329</v>
      </c>
      <c r="I66" s="3" t="s">
        <v>386</v>
      </c>
      <c r="J66" s="3" t="s">
        <v>330</v>
      </c>
      <c r="K66" s="3" t="s">
        <v>120</v>
      </c>
      <c r="L66" s="3" t="s">
        <v>40</v>
      </c>
      <c r="M66" s="3" t="s">
        <v>121</v>
      </c>
      <c r="N66" s="3" t="s">
        <v>331</v>
      </c>
      <c r="O66" s="3" t="s">
        <v>332</v>
      </c>
      <c r="P66" s="3" t="s">
        <v>124</v>
      </c>
      <c r="Q66" s="3" t="s">
        <v>126</v>
      </c>
      <c r="R66" s="3" t="s">
        <v>333</v>
      </c>
      <c r="S66" s="3" t="s">
        <v>128</v>
      </c>
    </row>
    <row r="67" customFormat="false" ht="13.8" hidden="false" customHeight="false" outlineLevel="0" collapsed="false">
      <c r="A67" s="3" t="s">
        <v>416</v>
      </c>
      <c r="B67" s="3" t="s">
        <v>462</v>
      </c>
      <c r="D67" s="48" t="s">
        <v>463</v>
      </c>
      <c r="E67" s="48" t="s">
        <v>464</v>
      </c>
      <c r="F67" s="3" t="n">
        <v>2</v>
      </c>
      <c r="G67" s="3" t="s">
        <v>465</v>
      </c>
      <c r="H67" s="3" t="s">
        <v>135</v>
      </c>
      <c r="I67" s="3" t="s">
        <v>466</v>
      </c>
      <c r="K67" s="3" t="s">
        <v>136</v>
      </c>
      <c r="L67" s="3" t="n">
        <v>180</v>
      </c>
      <c r="Q67" s="3" t="s">
        <v>467</v>
      </c>
      <c r="S67" s="3" t="n">
        <v>2025</v>
      </c>
    </row>
    <row r="68" customFormat="false" ht="13.8" hidden="false" customHeight="false" outlineLevel="0" collapsed="false">
      <c r="A68" s="3" t="s">
        <v>416</v>
      </c>
      <c r="B68" s="3" t="s">
        <v>468</v>
      </c>
      <c r="D68" s="3" t="s">
        <v>469</v>
      </c>
      <c r="E68" s="3" t="s">
        <v>470</v>
      </c>
      <c r="F68" s="3" t="n">
        <v>2</v>
      </c>
      <c r="G68" s="3" t="s">
        <v>471</v>
      </c>
      <c r="H68" s="3" t="s">
        <v>135</v>
      </c>
      <c r="I68" s="3" t="s">
        <v>472</v>
      </c>
      <c r="K68" s="3" t="s">
        <v>136</v>
      </c>
      <c r="L68" s="3" t="n">
        <v>160</v>
      </c>
      <c r="Q68" s="3" t="s">
        <v>427</v>
      </c>
      <c r="S68" s="3" t="n">
        <v>2025</v>
      </c>
    </row>
    <row r="69" customFormat="false" ht="13.8" hidden="false" customHeight="false" outlineLevel="0" collapsed="false">
      <c r="A69" s="3" t="s">
        <v>129</v>
      </c>
      <c r="B69" s="3" t="s">
        <v>473</v>
      </c>
      <c r="C69" s="3" t="s">
        <v>454</v>
      </c>
      <c r="D69" s="48" t="s">
        <v>474</v>
      </c>
      <c r="E69" s="48" t="s">
        <v>463</v>
      </c>
      <c r="F69" s="3" t="n">
        <v>3</v>
      </c>
      <c r="G69" s="3" t="s">
        <v>475</v>
      </c>
      <c r="H69" s="3" t="s">
        <v>135</v>
      </c>
      <c r="K69" s="3" t="s">
        <v>136</v>
      </c>
      <c r="L69" s="3" t="n">
        <v>629.95</v>
      </c>
      <c r="N69" s="3" t="s">
        <v>476</v>
      </c>
      <c r="P69" s="3" t="s">
        <v>138</v>
      </c>
      <c r="Q69" s="3" t="s">
        <v>477</v>
      </c>
      <c r="R69" s="3" t="s">
        <v>139</v>
      </c>
      <c r="S69" s="3" t="n">
        <v>2025</v>
      </c>
    </row>
    <row r="70" customFormat="false" ht="13.8" hidden="false" customHeight="false" outlineLevel="0" collapsed="false">
      <c r="A70" s="3" t="s">
        <v>129</v>
      </c>
      <c r="B70" s="3" t="s">
        <v>462</v>
      </c>
      <c r="C70" s="3" t="s">
        <v>444</v>
      </c>
      <c r="D70" s="48" t="s">
        <v>463</v>
      </c>
      <c r="E70" s="48" t="s">
        <v>464</v>
      </c>
      <c r="F70" s="3" t="n">
        <v>2</v>
      </c>
      <c r="G70" s="3" t="s">
        <v>465</v>
      </c>
      <c r="H70" s="3" t="s">
        <v>135</v>
      </c>
      <c r="K70" s="3" t="s">
        <v>136</v>
      </c>
      <c r="L70" s="3" t="n">
        <v>799.84</v>
      </c>
      <c r="N70" s="3" t="s">
        <v>478</v>
      </c>
      <c r="P70" s="3" t="s">
        <v>138</v>
      </c>
      <c r="Q70" s="3" t="s">
        <v>479</v>
      </c>
      <c r="R70" s="3" t="s">
        <v>139</v>
      </c>
      <c r="S70" s="3" t="n">
        <v>2025</v>
      </c>
    </row>
    <row r="71" customFormat="false" ht="13.8" hidden="false" customHeight="false" outlineLevel="0" collapsed="false">
      <c r="A71" s="3" t="s">
        <v>129</v>
      </c>
      <c r="B71" s="3" t="s">
        <v>480</v>
      </c>
      <c r="C71" s="48" t="s">
        <v>481</v>
      </c>
      <c r="D71" s="48" t="s">
        <v>482</v>
      </c>
      <c r="E71" s="3" t="s">
        <v>469</v>
      </c>
      <c r="F71" s="3" t="n">
        <v>2</v>
      </c>
      <c r="G71" s="3" t="s">
        <v>483</v>
      </c>
      <c r="H71" s="3" t="s">
        <v>135</v>
      </c>
      <c r="K71" s="3" t="s">
        <v>136</v>
      </c>
      <c r="L71" s="3" t="n">
        <v>448.6</v>
      </c>
      <c r="N71" s="3" t="s">
        <v>433</v>
      </c>
      <c r="P71" s="3" t="s">
        <v>138</v>
      </c>
      <c r="Q71" s="3" t="s">
        <v>434</v>
      </c>
      <c r="R71" s="3" t="s">
        <v>139</v>
      </c>
      <c r="S71" s="3" t="n">
        <v>2025</v>
      </c>
    </row>
    <row r="72" customFormat="false" ht="13.8" hidden="false" customHeight="false" outlineLevel="0" collapsed="false">
      <c r="A72" s="3" t="s">
        <v>129</v>
      </c>
      <c r="B72" s="3" t="s">
        <v>468</v>
      </c>
      <c r="C72" s="3" t="s">
        <v>484</v>
      </c>
      <c r="D72" s="3" t="s">
        <v>469</v>
      </c>
      <c r="E72" s="3" t="s">
        <v>470</v>
      </c>
      <c r="F72" s="3" t="n">
        <v>2</v>
      </c>
      <c r="G72" s="3" t="s">
        <v>471</v>
      </c>
      <c r="H72" s="3" t="s">
        <v>135</v>
      </c>
      <c r="K72" s="3" t="s">
        <v>136</v>
      </c>
      <c r="L72" s="3" t="n">
        <v>677.67</v>
      </c>
      <c r="N72" s="3" t="s">
        <v>485</v>
      </c>
      <c r="P72" s="3" t="s">
        <v>138</v>
      </c>
      <c r="Q72" s="3" t="s">
        <v>486</v>
      </c>
      <c r="R72" s="3" t="s">
        <v>139</v>
      </c>
      <c r="S72" s="3" t="n">
        <v>2025</v>
      </c>
    </row>
    <row r="73" customFormat="false" ht="13.8" hidden="false" customHeight="false" outlineLevel="0" collapsed="false">
      <c r="A73" s="3" t="s">
        <v>129</v>
      </c>
      <c r="B73" s="3" t="s">
        <v>487</v>
      </c>
      <c r="C73" s="3" t="s">
        <v>488</v>
      </c>
      <c r="D73" s="3" t="s">
        <v>488</v>
      </c>
      <c r="E73" s="3" t="s">
        <v>489</v>
      </c>
      <c r="F73" s="3" t="n">
        <v>1</v>
      </c>
      <c r="G73" s="3" t="s">
        <v>490</v>
      </c>
      <c r="H73" s="3" t="s">
        <v>135</v>
      </c>
      <c r="K73" s="3" t="s">
        <v>136</v>
      </c>
      <c r="L73" s="3" t="n">
        <v>305.43</v>
      </c>
      <c r="N73" s="3" t="s">
        <v>491</v>
      </c>
      <c r="P73" s="3" t="s">
        <v>138</v>
      </c>
      <c r="Q73" s="3" t="s">
        <v>492</v>
      </c>
      <c r="R73" s="3" t="s">
        <v>139</v>
      </c>
      <c r="S73" s="3" t="n">
        <v>2025</v>
      </c>
    </row>
    <row r="74" customFormat="false" ht="13.8" hidden="false" customHeight="false" outlineLevel="0" collapsed="false">
      <c r="A74" s="3" t="s">
        <v>129</v>
      </c>
      <c r="B74" s="3" t="s">
        <v>493</v>
      </c>
      <c r="C74" s="48" t="s">
        <v>464</v>
      </c>
      <c r="D74" s="3" t="s">
        <v>489</v>
      </c>
      <c r="E74" s="3" t="s">
        <v>494</v>
      </c>
      <c r="F74" s="3" t="n">
        <v>2</v>
      </c>
      <c r="G74" s="3" t="s">
        <v>495</v>
      </c>
      <c r="H74" s="3" t="s">
        <v>135</v>
      </c>
      <c r="K74" s="3" t="s">
        <v>136</v>
      </c>
      <c r="L74" s="3" t="n">
        <v>582.22</v>
      </c>
      <c r="N74" s="3" t="s">
        <v>496</v>
      </c>
      <c r="P74" s="3" t="s">
        <v>138</v>
      </c>
      <c r="Q74" s="3" t="s">
        <v>497</v>
      </c>
      <c r="R74" s="3" t="s">
        <v>139</v>
      </c>
      <c r="S74" s="3" t="n">
        <v>2025</v>
      </c>
    </row>
    <row r="75" customFormat="false" ht="13.8" hidden="false" customHeight="false" outlineLevel="0" collapsed="false">
      <c r="A75" s="3" t="s">
        <v>129</v>
      </c>
      <c r="B75" s="3" t="s">
        <v>498</v>
      </c>
      <c r="C75" s="48" t="s">
        <v>499</v>
      </c>
      <c r="D75" s="3" t="s">
        <v>494</v>
      </c>
      <c r="E75" s="3" t="s">
        <v>500</v>
      </c>
      <c r="F75" s="3" t="n">
        <v>2</v>
      </c>
      <c r="G75" s="3" t="s">
        <v>501</v>
      </c>
      <c r="H75" s="3" t="s">
        <v>135</v>
      </c>
      <c r="K75" s="3" t="s">
        <v>136</v>
      </c>
      <c r="L75" s="3" t="n">
        <v>708.21</v>
      </c>
      <c r="N75" s="3" t="s">
        <v>502</v>
      </c>
      <c r="P75" s="3" t="s">
        <v>138</v>
      </c>
      <c r="Q75" s="3" t="s">
        <v>503</v>
      </c>
      <c r="R75" s="3" t="s">
        <v>139</v>
      </c>
      <c r="S75" s="3" t="n">
        <v>2025</v>
      </c>
    </row>
    <row r="76" customFormat="false" ht="13.8" hidden="false" customHeight="false" outlineLevel="0" collapsed="false">
      <c r="A76" s="3" t="s">
        <v>129</v>
      </c>
      <c r="B76" s="3" t="s">
        <v>504</v>
      </c>
      <c r="C76" s="48" t="s">
        <v>499</v>
      </c>
      <c r="D76" s="3" t="s">
        <v>500</v>
      </c>
      <c r="E76" s="48" t="s">
        <v>505</v>
      </c>
      <c r="F76" s="3" t="n">
        <v>10</v>
      </c>
      <c r="G76" s="3" t="s">
        <v>506</v>
      </c>
      <c r="H76" s="3" t="s">
        <v>135</v>
      </c>
      <c r="K76" s="3" t="s">
        <v>136</v>
      </c>
      <c r="L76" s="3" t="n">
        <v>2664.87</v>
      </c>
      <c r="N76" s="3" t="s">
        <v>507</v>
      </c>
      <c r="P76" s="3" t="s">
        <v>138</v>
      </c>
      <c r="Q76" s="3" t="s">
        <v>508</v>
      </c>
      <c r="R76" s="3" t="s">
        <v>139</v>
      </c>
      <c r="S76" s="3" t="n">
        <v>2025</v>
      </c>
    </row>
    <row r="79" customFormat="false" ht="13.8" hidden="false" customHeight="true" outlineLevel="0" collapsed="false">
      <c r="A79" s="3" t="s">
        <v>324</v>
      </c>
      <c r="B79" s="3" t="s">
        <v>325</v>
      </c>
      <c r="C79" s="3" t="s">
        <v>112</v>
      </c>
      <c r="D79" s="3" t="s">
        <v>326</v>
      </c>
      <c r="E79" s="3" t="s">
        <v>327</v>
      </c>
      <c r="F79" s="3" t="s">
        <v>115</v>
      </c>
      <c r="G79" s="3" t="s">
        <v>328</v>
      </c>
      <c r="H79" s="3" t="s">
        <v>329</v>
      </c>
      <c r="I79" s="3" t="s">
        <v>386</v>
      </c>
      <c r="J79" s="3" t="s">
        <v>330</v>
      </c>
      <c r="K79" s="3" t="s">
        <v>120</v>
      </c>
      <c r="L79" s="3" t="s">
        <v>40</v>
      </c>
      <c r="M79" s="3" t="s">
        <v>121</v>
      </c>
      <c r="N79" s="3" t="s">
        <v>331</v>
      </c>
      <c r="O79" s="3" t="s">
        <v>332</v>
      </c>
      <c r="P79" s="3" t="s">
        <v>124</v>
      </c>
      <c r="Q79" s="3" t="s">
        <v>126</v>
      </c>
      <c r="R79" s="3" t="s">
        <v>333</v>
      </c>
      <c r="S79" s="3" t="s">
        <v>128</v>
      </c>
    </row>
    <row r="80" customFormat="false" ht="13.8" hidden="false" customHeight="true" outlineLevel="0" collapsed="false">
      <c r="A80" s="3" t="s">
        <v>129</v>
      </c>
      <c r="B80" s="3" t="s">
        <v>509</v>
      </c>
      <c r="C80" s="3" t="s">
        <v>510</v>
      </c>
      <c r="D80" s="48" t="s">
        <v>505</v>
      </c>
      <c r="E80" s="48" t="s">
        <v>511</v>
      </c>
      <c r="F80" s="3" t="n">
        <v>2</v>
      </c>
      <c r="G80" s="3" t="s">
        <v>512</v>
      </c>
      <c r="H80" s="3" t="s">
        <v>135</v>
      </c>
      <c r="K80" s="3" t="s">
        <v>136</v>
      </c>
      <c r="L80" s="51" t="n">
        <v>482.96</v>
      </c>
      <c r="N80" s="3" t="s">
        <v>513</v>
      </c>
      <c r="P80" s="3" t="s">
        <v>138</v>
      </c>
      <c r="Q80" s="3" t="s">
        <v>514</v>
      </c>
      <c r="R80" s="3" t="s">
        <v>139</v>
      </c>
      <c r="S80" s="3" t="n">
        <v>2025</v>
      </c>
    </row>
    <row r="81" customFormat="false" ht="13.8" hidden="false" customHeight="true" outlineLevel="0" collapsed="false">
      <c r="A81" s="3" t="s">
        <v>129</v>
      </c>
      <c r="B81" s="3" t="s">
        <v>515</v>
      </c>
      <c r="C81" s="48" t="s">
        <v>516</v>
      </c>
      <c r="D81" s="48" t="s">
        <v>511</v>
      </c>
      <c r="E81" s="48" t="s">
        <v>517</v>
      </c>
      <c r="F81" s="3" t="n">
        <v>4</v>
      </c>
      <c r="G81" s="3" t="s">
        <v>518</v>
      </c>
      <c r="H81" s="3" t="s">
        <v>135</v>
      </c>
      <c r="K81" s="3" t="s">
        <v>136</v>
      </c>
      <c r="L81" s="51" t="n">
        <v>1243.62</v>
      </c>
      <c r="N81" s="3" t="s">
        <v>519</v>
      </c>
      <c r="P81" s="3" t="s">
        <v>138</v>
      </c>
      <c r="Q81" s="3" t="s">
        <v>520</v>
      </c>
      <c r="R81" s="3" t="s">
        <v>139</v>
      </c>
      <c r="S81" s="3" t="n">
        <v>2025</v>
      </c>
    </row>
    <row r="82" customFormat="false" ht="13.8" hidden="false" customHeight="true" outlineLevel="0" collapsed="false">
      <c r="A82" s="3" t="s">
        <v>129</v>
      </c>
      <c r="B82" s="3" t="s">
        <v>521</v>
      </c>
      <c r="C82" s="3" t="s">
        <v>494</v>
      </c>
      <c r="D82" s="48" t="s">
        <v>522</v>
      </c>
      <c r="E82" s="3" t="s">
        <v>523</v>
      </c>
      <c r="F82" s="3" t="n">
        <v>6</v>
      </c>
      <c r="G82" s="3" t="s">
        <v>524</v>
      </c>
      <c r="H82" s="3" t="s">
        <v>135</v>
      </c>
      <c r="K82" s="3" t="s">
        <v>136</v>
      </c>
      <c r="L82" s="51" t="n">
        <v>1345.8</v>
      </c>
      <c r="N82" s="3" t="s">
        <v>525</v>
      </c>
      <c r="P82" s="3" t="s">
        <v>138</v>
      </c>
      <c r="Q82" s="3" t="s">
        <v>526</v>
      </c>
      <c r="R82" s="3" t="s">
        <v>139</v>
      </c>
      <c r="S82" s="3" t="n">
        <v>2025</v>
      </c>
    </row>
    <row r="83" customFormat="false" ht="13.8" hidden="false" customHeight="true" outlineLevel="0" collapsed="false">
      <c r="A83" s="3" t="s">
        <v>129</v>
      </c>
      <c r="B83" s="3" t="s">
        <v>527</v>
      </c>
      <c r="C83" s="3" t="s">
        <v>523</v>
      </c>
      <c r="D83" s="3" t="s">
        <v>528</v>
      </c>
      <c r="E83" s="3" t="s">
        <v>529</v>
      </c>
      <c r="F83" s="3" t="n">
        <v>3</v>
      </c>
      <c r="G83" s="3" t="s">
        <v>530</v>
      </c>
      <c r="H83" s="3" t="s">
        <v>135</v>
      </c>
      <c r="K83" s="3" t="s">
        <v>136</v>
      </c>
      <c r="L83" s="51" t="n">
        <v>629.95</v>
      </c>
      <c r="N83" s="3" t="s">
        <v>476</v>
      </c>
      <c r="P83" s="3" t="s">
        <v>138</v>
      </c>
      <c r="Q83" s="3" t="s">
        <v>477</v>
      </c>
      <c r="R83" s="3" t="s">
        <v>139</v>
      </c>
      <c r="S83" s="3" t="n">
        <v>2025</v>
      </c>
    </row>
    <row r="84" customFormat="false" ht="13.8" hidden="false" customHeight="true" outlineLevel="0" collapsed="false">
      <c r="A84" s="3" t="s">
        <v>129</v>
      </c>
      <c r="B84" s="3" t="s">
        <v>531</v>
      </c>
      <c r="C84" s="48" t="s">
        <v>532</v>
      </c>
      <c r="D84" s="3" t="s">
        <v>533</v>
      </c>
      <c r="E84" s="3" t="s">
        <v>529</v>
      </c>
      <c r="F84" s="3" t="n">
        <v>1</v>
      </c>
      <c r="G84" s="3" t="s">
        <v>534</v>
      </c>
      <c r="H84" s="3" t="s">
        <v>135</v>
      </c>
      <c r="I84" s="3" t="s">
        <v>535</v>
      </c>
      <c r="K84" s="3" t="s">
        <v>136</v>
      </c>
      <c r="L84" s="51" t="n">
        <v>179.52</v>
      </c>
      <c r="N84" s="3" t="s">
        <v>536</v>
      </c>
      <c r="P84" s="3" t="s">
        <v>537</v>
      </c>
      <c r="Q84" s="3" t="s">
        <v>538</v>
      </c>
      <c r="R84" s="3" t="s">
        <v>139</v>
      </c>
      <c r="S84" s="3" t="n">
        <v>2025</v>
      </c>
    </row>
    <row r="85" customFormat="false" ht="13.8" hidden="false" customHeight="true" outlineLevel="0" collapsed="false">
      <c r="A85" s="3" t="s">
        <v>129</v>
      </c>
      <c r="B85" s="3" t="s">
        <v>539</v>
      </c>
      <c r="C85" s="48" t="s">
        <v>540</v>
      </c>
      <c r="D85" s="3" t="s">
        <v>529</v>
      </c>
      <c r="E85" s="3" t="s">
        <v>541</v>
      </c>
      <c r="F85" s="3" t="n">
        <v>2</v>
      </c>
      <c r="G85" s="3" t="s">
        <v>542</v>
      </c>
      <c r="H85" s="3" t="s">
        <v>135</v>
      </c>
      <c r="K85" s="3" t="s">
        <v>136</v>
      </c>
      <c r="L85" s="51" t="n">
        <v>639.5</v>
      </c>
      <c r="N85" s="3" t="s">
        <v>543</v>
      </c>
      <c r="P85" s="3" t="s">
        <v>138</v>
      </c>
      <c r="Q85" s="3" t="s">
        <v>544</v>
      </c>
      <c r="R85" s="3" t="s">
        <v>139</v>
      </c>
      <c r="S85" s="3" t="n">
        <v>2025</v>
      </c>
    </row>
    <row r="86" customFormat="false" ht="13.8" hidden="false" customHeight="true" outlineLevel="0" collapsed="false">
      <c r="A86" s="3" t="s">
        <v>129</v>
      </c>
      <c r="B86" s="3" t="s">
        <v>545</v>
      </c>
      <c r="C86" s="3" t="s">
        <v>546</v>
      </c>
      <c r="D86" s="3" t="s">
        <v>547</v>
      </c>
      <c r="E86" s="48" t="s">
        <v>548</v>
      </c>
      <c r="F86" s="3" t="n">
        <v>6</v>
      </c>
      <c r="G86" s="3" t="s">
        <v>549</v>
      </c>
      <c r="H86" s="3" t="s">
        <v>135</v>
      </c>
      <c r="K86" s="3" t="s">
        <v>136</v>
      </c>
      <c r="L86" s="51" t="n">
        <v>2662.97</v>
      </c>
      <c r="N86" s="3" t="s">
        <v>550</v>
      </c>
      <c r="P86" s="3" t="s">
        <v>138</v>
      </c>
      <c r="Q86" s="3" t="s">
        <v>551</v>
      </c>
      <c r="R86" s="3" t="s">
        <v>139</v>
      </c>
      <c r="S86" s="3" t="n">
        <v>2025</v>
      </c>
    </row>
    <row r="89" customFormat="false" ht="13.8" hidden="false" customHeight="false" outlineLevel="0" collapsed="false">
      <c r="A89" s="3" t="s">
        <v>324</v>
      </c>
      <c r="B89" s="3" t="s">
        <v>325</v>
      </c>
      <c r="C89" s="3" t="s">
        <v>112</v>
      </c>
      <c r="D89" s="3" t="s">
        <v>326</v>
      </c>
      <c r="E89" s="3" t="s">
        <v>327</v>
      </c>
      <c r="F89" s="3" t="s">
        <v>115</v>
      </c>
      <c r="G89" s="3" t="s">
        <v>328</v>
      </c>
      <c r="H89" s="3" t="s">
        <v>329</v>
      </c>
      <c r="I89" s="3" t="s">
        <v>386</v>
      </c>
      <c r="J89" s="3" t="s">
        <v>330</v>
      </c>
      <c r="K89" s="3" t="s">
        <v>120</v>
      </c>
      <c r="L89" s="3" t="s">
        <v>40</v>
      </c>
      <c r="M89" s="3" t="s">
        <v>121</v>
      </c>
      <c r="N89" s="3" t="s">
        <v>331</v>
      </c>
      <c r="O89" s="3" t="s">
        <v>332</v>
      </c>
      <c r="P89" s="3" t="s">
        <v>124</v>
      </c>
      <c r="Q89" s="3" t="s">
        <v>126</v>
      </c>
      <c r="R89" s="3" t="s">
        <v>333</v>
      </c>
      <c r="S89" s="3" t="s">
        <v>128</v>
      </c>
    </row>
    <row r="90" customFormat="false" ht="13.8" hidden="false" customHeight="false" outlineLevel="0" collapsed="false">
      <c r="A90" s="3" t="s">
        <v>129</v>
      </c>
      <c r="B90" s="3" t="s">
        <v>552</v>
      </c>
      <c r="C90" s="48" t="s">
        <v>553</v>
      </c>
      <c r="D90" s="48" t="s">
        <v>553</v>
      </c>
      <c r="E90" s="48" t="s">
        <v>554</v>
      </c>
      <c r="F90" s="3" t="n">
        <v>2</v>
      </c>
      <c r="G90" s="3" t="s">
        <v>555</v>
      </c>
      <c r="H90" s="3" t="s">
        <v>135</v>
      </c>
      <c r="K90" s="3" t="s">
        <v>136</v>
      </c>
      <c r="L90" s="3" t="n">
        <v>563.14</v>
      </c>
      <c r="N90" s="3" t="s">
        <v>556</v>
      </c>
      <c r="P90" s="3" t="s">
        <v>138</v>
      </c>
      <c r="Q90" s="3" t="s">
        <v>557</v>
      </c>
      <c r="R90" s="3" t="s">
        <v>139</v>
      </c>
      <c r="S90" s="3" t="n">
        <v>2026</v>
      </c>
    </row>
    <row r="91" customFormat="false" ht="13.8" hidden="false" customHeight="false" outlineLevel="0" collapsed="false">
      <c r="A91" s="3" t="s">
        <v>129</v>
      </c>
      <c r="B91" s="3" t="s">
        <v>558</v>
      </c>
      <c r="C91" s="3" t="s">
        <v>559</v>
      </c>
      <c r="D91" s="48" t="s">
        <v>554</v>
      </c>
      <c r="E91" s="48" t="s">
        <v>560</v>
      </c>
      <c r="F91" s="3" t="n">
        <v>7</v>
      </c>
      <c r="G91" s="3" t="s">
        <v>561</v>
      </c>
      <c r="H91" s="3" t="s">
        <v>135</v>
      </c>
      <c r="K91" s="3" t="s">
        <v>136</v>
      </c>
      <c r="L91" s="3" t="n">
        <v>1546.23</v>
      </c>
      <c r="N91" s="3" t="s">
        <v>562</v>
      </c>
      <c r="P91" s="3" t="s">
        <v>138</v>
      </c>
      <c r="Q91" s="3" t="s">
        <v>563</v>
      </c>
      <c r="R91" s="3" t="s">
        <v>139</v>
      </c>
      <c r="S91" s="3" t="n">
        <v>2026</v>
      </c>
    </row>
    <row r="92" customFormat="false" ht="13.8" hidden="false" customHeight="false" outlineLevel="0" collapsed="false">
      <c r="A92" s="3" t="s">
        <v>129</v>
      </c>
      <c r="B92" s="3" t="s">
        <v>564</v>
      </c>
      <c r="C92" s="48" t="s">
        <v>464</v>
      </c>
      <c r="D92" s="3" t="s">
        <v>565</v>
      </c>
      <c r="E92" s="3" t="s">
        <v>566</v>
      </c>
      <c r="F92" s="3" t="n">
        <v>3</v>
      </c>
      <c r="G92" s="3" t="s">
        <v>567</v>
      </c>
      <c r="H92" s="3" t="s">
        <v>135</v>
      </c>
      <c r="K92" s="3" t="s">
        <v>136</v>
      </c>
      <c r="L92" s="3" t="n">
        <v>891.48</v>
      </c>
      <c r="N92" s="3" t="s">
        <v>568</v>
      </c>
      <c r="P92" s="3" t="s">
        <v>138</v>
      </c>
      <c r="Q92" s="3" t="s">
        <v>569</v>
      </c>
      <c r="R92" s="3" t="s">
        <v>139</v>
      </c>
      <c r="S92" s="3" t="n">
        <v>2026</v>
      </c>
    </row>
    <row r="93" customFormat="false" ht="13.8" hidden="false" customHeight="false" outlineLevel="0" collapsed="false">
      <c r="A93" s="3" t="s">
        <v>129</v>
      </c>
      <c r="B93" s="3" t="s">
        <v>570</v>
      </c>
      <c r="C93" s="48" t="s">
        <v>571</v>
      </c>
      <c r="D93" s="3" t="s">
        <v>572</v>
      </c>
      <c r="E93" s="3" t="s">
        <v>573</v>
      </c>
      <c r="F93" s="3" t="n">
        <v>4</v>
      </c>
      <c r="G93" s="3" t="s">
        <v>574</v>
      </c>
      <c r="H93" s="3" t="s">
        <v>135</v>
      </c>
      <c r="K93" s="3" t="s">
        <v>136</v>
      </c>
      <c r="L93" s="3" t="n">
        <v>964.01</v>
      </c>
      <c r="N93" s="3" t="s">
        <v>575</v>
      </c>
      <c r="P93" s="3" t="s">
        <v>138</v>
      </c>
      <c r="Q93" s="3" t="s">
        <v>576</v>
      </c>
      <c r="R93" s="3" t="s">
        <v>139</v>
      </c>
      <c r="S93" s="3" t="n">
        <v>2026</v>
      </c>
    </row>
    <row r="94" customFormat="false" ht="13.8" hidden="false" customHeight="false" outlineLevel="0" collapsed="false">
      <c r="A94" s="3" t="s">
        <v>129</v>
      </c>
      <c r="B94" s="3" t="s">
        <v>577</v>
      </c>
      <c r="C94" s="48" t="s">
        <v>522</v>
      </c>
      <c r="D94" s="3" t="s">
        <v>573</v>
      </c>
      <c r="E94" s="3" t="s">
        <v>578</v>
      </c>
      <c r="F94" s="3" t="n">
        <v>2</v>
      </c>
      <c r="G94" s="3" t="s">
        <v>579</v>
      </c>
      <c r="H94" s="3" t="s">
        <v>135</v>
      </c>
      <c r="K94" s="3" t="s">
        <v>136</v>
      </c>
      <c r="L94" s="3" t="n">
        <v>486.79</v>
      </c>
      <c r="N94" s="3" t="s">
        <v>580</v>
      </c>
      <c r="P94" s="3" t="s">
        <v>138</v>
      </c>
      <c r="Q94" s="3" t="s">
        <v>581</v>
      </c>
      <c r="R94" s="3" t="s">
        <v>139</v>
      </c>
      <c r="S94" s="3" t="n">
        <v>2026</v>
      </c>
    </row>
    <row r="95" customFormat="false" ht="13.8" hidden="false" customHeight="false" outlineLevel="0" collapsed="false">
      <c r="A95" s="3" t="s">
        <v>129</v>
      </c>
      <c r="B95" s="3" t="s">
        <v>582</v>
      </c>
      <c r="C95" s="3" t="s">
        <v>578</v>
      </c>
      <c r="D95" s="3" t="s">
        <v>578</v>
      </c>
      <c r="E95" s="3" t="s">
        <v>583</v>
      </c>
      <c r="F95" s="3" t="n">
        <v>1</v>
      </c>
      <c r="G95" s="3" t="s">
        <v>584</v>
      </c>
      <c r="H95" s="3" t="s">
        <v>135</v>
      </c>
      <c r="K95" s="3" t="s">
        <v>136</v>
      </c>
      <c r="L95" s="3" t="n">
        <v>314.97</v>
      </c>
      <c r="N95" s="3" t="s">
        <v>585</v>
      </c>
      <c r="P95" s="3" t="s">
        <v>138</v>
      </c>
      <c r="Q95" s="3" t="s">
        <v>586</v>
      </c>
      <c r="R95" s="3" t="s">
        <v>139</v>
      </c>
      <c r="S95" s="3" t="n">
        <v>2026</v>
      </c>
    </row>
    <row r="96" customFormat="false" ht="13.8" hidden="false" customHeight="false" outlineLevel="0" collapsed="false">
      <c r="A96" s="3" t="s">
        <v>129</v>
      </c>
      <c r="B96" s="3" t="s">
        <v>587</v>
      </c>
      <c r="C96" s="3" t="s">
        <v>523</v>
      </c>
      <c r="D96" s="3" t="s">
        <v>583</v>
      </c>
      <c r="E96" s="3" t="s">
        <v>588</v>
      </c>
      <c r="F96" s="3" t="n">
        <v>1</v>
      </c>
      <c r="G96" s="3" t="s">
        <v>589</v>
      </c>
      <c r="H96" s="3" t="s">
        <v>135</v>
      </c>
      <c r="K96" s="3" t="s">
        <v>136</v>
      </c>
      <c r="L96" s="3" t="n">
        <v>314.97</v>
      </c>
      <c r="N96" s="3" t="s">
        <v>585</v>
      </c>
      <c r="P96" s="3" t="s">
        <v>138</v>
      </c>
      <c r="Q96" s="3" t="s">
        <v>586</v>
      </c>
      <c r="R96" s="3" t="s">
        <v>139</v>
      </c>
      <c r="S96" s="3" t="n">
        <v>2026</v>
      </c>
    </row>
    <row r="99" customFormat="false" ht="13.8" hidden="false" customHeight="true" outlineLevel="0" collapsed="false">
      <c r="A99" s="3" t="s">
        <v>324</v>
      </c>
      <c r="B99" s="3" t="s">
        <v>325</v>
      </c>
      <c r="C99" s="3" t="s">
        <v>112</v>
      </c>
      <c r="D99" s="3" t="s">
        <v>326</v>
      </c>
      <c r="E99" s="3" t="s">
        <v>327</v>
      </c>
      <c r="F99" s="3" t="s">
        <v>115</v>
      </c>
      <c r="G99" s="3" t="s">
        <v>328</v>
      </c>
      <c r="H99" s="3" t="s">
        <v>329</v>
      </c>
      <c r="I99" s="3" t="s">
        <v>386</v>
      </c>
      <c r="J99" s="3" t="s">
        <v>330</v>
      </c>
      <c r="K99" s="3" t="s">
        <v>120</v>
      </c>
      <c r="L99" s="3" t="s">
        <v>40</v>
      </c>
      <c r="M99" s="3" t="s">
        <v>121</v>
      </c>
      <c r="N99" s="3" t="s">
        <v>331</v>
      </c>
      <c r="O99" s="3" t="s">
        <v>332</v>
      </c>
      <c r="P99" s="3" t="s">
        <v>124</v>
      </c>
      <c r="Q99" s="3" t="s">
        <v>126</v>
      </c>
      <c r="R99" s="3" t="s">
        <v>333</v>
      </c>
      <c r="S99" s="3" t="s">
        <v>128</v>
      </c>
    </row>
    <row r="100" customFormat="false" ht="13.8" hidden="false" customHeight="true" outlineLevel="0" collapsed="false">
      <c r="A100" s="3" t="s">
        <v>129</v>
      </c>
      <c r="B100" s="3" t="s">
        <v>590</v>
      </c>
      <c r="C100" s="48" t="s">
        <v>591</v>
      </c>
      <c r="D100" s="3" t="s">
        <v>592</v>
      </c>
      <c r="E100" s="48" t="s">
        <v>593</v>
      </c>
      <c r="F100" s="3" t="n">
        <v>2</v>
      </c>
      <c r="G100" s="3" t="s">
        <v>594</v>
      </c>
      <c r="H100" s="3" t="s">
        <v>135</v>
      </c>
      <c r="K100" s="3" t="s">
        <v>136</v>
      </c>
      <c r="L100" s="3" t="n">
        <v>639.5</v>
      </c>
      <c r="N100" s="3" t="s">
        <v>543</v>
      </c>
      <c r="P100" s="3" t="s">
        <v>138</v>
      </c>
      <c r="Q100" s="3" t="s">
        <v>544</v>
      </c>
      <c r="R100" s="3" t="s">
        <v>139</v>
      </c>
      <c r="S100" s="3" t="n">
        <v>2026</v>
      </c>
    </row>
    <row r="101" customFormat="false" ht="13.8" hidden="false" customHeight="true" outlineLevel="0" collapsed="false">
      <c r="A101" s="3" t="s">
        <v>129</v>
      </c>
      <c r="B101" s="3" t="s">
        <v>595</v>
      </c>
      <c r="C101" s="3" t="s">
        <v>588</v>
      </c>
      <c r="D101" s="3" t="s">
        <v>596</v>
      </c>
      <c r="E101" s="3" t="s">
        <v>597</v>
      </c>
      <c r="F101" s="3" t="n">
        <v>1</v>
      </c>
      <c r="G101" s="3" t="s">
        <v>598</v>
      </c>
      <c r="H101" s="3" t="s">
        <v>135</v>
      </c>
      <c r="K101" s="3" t="s">
        <v>136</v>
      </c>
      <c r="L101" s="3" t="n">
        <v>314.97</v>
      </c>
      <c r="N101" s="3" t="s">
        <v>585</v>
      </c>
      <c r="P101" s="3" t="s">
        <v>138</v>
      </c>
      <c r="Q101" s="3" t="s">
        <v>586</v>
      </c>
      <c r="R101" s="3" t="s">
        <v>139</v>
      </c>
      <c r="S101" s="3" t="n">
        <v>2026</v>
      </c>
    </row>
    <row r="102" customFormat="false" ht="13.8" hidden="false" customHeight="true" outlineLevel="0" collapsed="false">
      <c r="A102" s="3" t="s">
        <v>129</v>
      </c>
      <c r="B102" s="3" t="s">
        <v>599</v>
      </c>
      <c r="C102" s="3" t="s">
        <v>600</v>
      </c>
      <c r="D102" s="3" t="s">
        <v>601</v>
      </c>
      <c r="E102" s="3" t="s">
        <v>596</v>
      </c>
      <c r="F102" s="3" t="n">
        <v>2</v>
      </c>
      <c r="G102" s="3" t="s">
        <v>602</v>
      </c>
      <c r="H102" s="3" t="s">
        <v>135</v>
      </c>
      <c r="K102" s="3" t="s">
        <v>136</v>
      </c>
      <c r="L102" s="3" t="n">
        <v>486.79</v>
      </c>
      <c r="N102" s="3" t="s">
        <v>580</v>
      </c>
      <c r="P102" s="3" t="s">
        <v>138</v>
      </c>
      <c r="Q102" s="3" t="s">
        <v>581</v>
      </c>
      <c r="R102" s="3" t="s">
        <v>139</v>
      </c>
      <c r="S102" s="3" t="n">
        <v>2026</v>
      </c>
    </row>
    <row r="103" customFormat="false" ht="13.8" hidden="false" customHeight="true" outlineLevel="0" collapsed="false">
      <c r="A103" s="3" t="s">
        <v>129</v>
      </c>
      <c r="B103" s="3" t="s">
        <v>603</v>
      </c>
      <c r="C103" s="3" t="s">
        <v>604</v>
      </c>
      <c r="D103" s="3" t="s">
        <v>605</v>
      </c>
      <c r="E103" s="3" t="s">
        <v>606</v>
      </c>
      <c r="F103" s="3" t="n">
        <v>2</v>
      </c>
      <c r="G103" s="3" t="s">
        <v>607</v>
      </c>
      <c r="H103" s="3" t="s">
        <v>135</v>
      </c>
      <c r="K103" s="3" t="s">
        <v>136</v>
      </c>
      <c r="L103" s="3" t="n">
        <v>601.32</v>
      </c>
      <c r="N103" s="3" t="s">
        <v>608</v>
      </c>
      <c r="P103" s="3" t="s">
        <v>138</v>
      </c>
      <c r="Q103" s="3" t="s">
        <v>609</v>
      </c>
      <c r="R103" s="3" t="s">
        <v>139</v>
      </c>
      <c r="S103" s="3" t="n">
        <v>2026</v>
      </c>
    </row>
    <row r="104" customFormat="false" ht="13.8" hidden="false" customHeight="true" outlineLevel="0" collapsed="false">
      <c r="A104" s="3" t="s">
        <v>129</v>
      </c>
      <c r="B104" s="3" t="s">
        <v>610</v>
      </c>
      <c r="C104" s="48" t="s">
        <v>611</v>
      </c>
      <c r="D104" s="48" t="s">
        <v>612</v>
      </c>
      <c r="E104" s="3" t="s">
        <v>613</v>
      </c>
      <c r="F104" s="3" t="n">
        <v>4</v>
      </c>
      <c r="G104" s="3" t="s">
        <v>614</v>
      </c>
      <c r="H104" s="3" t="s">
        <v>135</v>
      </c>
      <c r="K104" s="3" t="s">
        <v>136</v>
      </c>
      <c r="L104" s="3" t="n">
        <v>983.09</v>
      </c>
      <c r="N104" s="3" t="s">
        <v>615</v>
      </c>
      <c r="P104" s="3" t="s">
        <v>138</v>
      </c>
      <c r="Q104" s="3" t="s">
        <v>616</v>
      </c>
      <c r="R104" s="3" t="s">
        <v>139</v>
      </c>
      <c r="S104" s="3" t="n">
        <v>2026</v>
      </c>
    </row>
    <row r="105" customFormat="false" ht="13.8" hidden="false" customHeight="true" outlineLevel="0" collapsed="false">
      <c r="A105" s="3" t="s">
        <v>129</v>
      </c>
      <c r="B105" s="3" t="s">
        <v>617</v>
      </c>
      <c r="C105" s="3" t="s">
        <v>604</v>
      </c>
      <c r="D105" s="48" t="s">
        <v>591</v>
      </c>
      <c r="E105" s="48" t="s">
        <v>618</v>
      </c>
      <c r="F105" s="3" t="n">
        <v>3</v>
      </c>
      <c r="G105" s="3" t="s">
        <v>619</v>
      </c>
      <c r="H105" s="3" t="s">
        <v>135</v>
      </c>
      <c r="K105" s="3" t="s">
        <v>136</v>
      </c>
      <c r="L105" s="3" t="n">
        <v>773.11</v>
      </c>
      <c r="N105" s="3" t="s">
        <v>620</v>
      </c>
      <c r="P105" s="3" t="s">
        <v>138</v>
      </c>
      <c r="Q105" s="3" t="s">
        <v>621</v>
      </c>
      <c r="R105" s="3" t="s">
        <v>139</v>
      </c>
      <c r="S105" s="3" t="n">
        <v>2026</v>
      </c>
    </row>
    <row r="106" customFormat="false" ht="13.8" hidden="false" customHeight="true" outlineLevel="0" collapsed="false">
      <c r="A106" s="3" t="s">
        <v>129</v>
      </c>
      <c r="B106" s="3" t="s">
        <v>622</v>
      </c>
      <c r="C106" s="3" t="s">
        <v>572</v>
      </c>
      <c r="D106" s="3" t="s">
        <v>623</v>
      </c>
      <c r="E106" s="48" t="s">
        <v>624</v>
      </c>
      <c r="F106" s="3" t="n">
        <v>2</v>
      </c>
      <c r="G106" s="3" t="s">
        <v>625</v>
      </c>
      <c r="H106" s="3" t="s">
        <v>135</v>
      </c>
      <c r="K106" s="3" t="s">
        <v>136</v>
      </c>
      <c r="L106" s="3" t="n">
        <v>544.05</v>
      </c>
      <c r="N106" s="3" t="s">
        <v>626</v>
      </c>
      <c r="P106" s="3" t="s">
        <v>138</v>
      </c>
      <c r="Q106" s="3" t="s">
        <v>627</v>
      </c>
      <c r="R106" s="3" t="s">
        <v>139</v>
      </c>
      <c r="S106" s="3" t="n">
        <v>2026</v>
      </c>
    </row>
    <row r="109" customFormat="false" ht="13.8" hidden="false" customHeight="true" outlineLevel="0" collapsed="false">
      <c r="A109" s="3" t="s">
        <v>324</v>
      </c>
      <c r="B109" s="3" t="s">
        <v>325</v>
      </c>
      <c r="C109" s="3" t="s">
        <v>112</v>
      </c>
      <c r="D109" s="3" t="s">
        <v>326</v>
      </c>
      <c r="E109" s="3" t="s">
        <v>327</v>
      </c>
      <c r="F109" s="3" t="s">
        <v>115</v>
      </c>
      <c r="G109" s="3" t="s">
        <v>328</v>
      </c>
      <c r="H109" s="3" t="s">
        <v>329</v>
      </c>
      <c r="I109" s="3" t="s">
        <v>386</v>
      </c>
      <c r="J109" s="3" t="s">
        <v>330</v>
      </c>
      <c r="K109" s="3" t="s">
        <v>120</v>
      </c>
      <c r="L109" s="3" t="s">
        <v>40</v>
      </c>
      <c r="M109" s="3" t="s">
        <v>121</v>
      </c>
      <c r="N109" s="3" t="s">
        <v>331</v>
      </c>
      <c r="O109" s="3" t="s">
        <v>332</v>
      </c>
      <c r="P109" s="3" t="s">
        <v>124</v>
      </c>
      <c r="Q109" s="3" t="s">
        <v>126</v>
      </c>
      <c r="R109" s="3" t="s">
        <v>628</v>
      </c>
      <c r="S109" s="3" t="s">
        <v>128</v>
      </c>
    </row>
    <row r="110" customFormat="false" ht="13.8" hidden="false" customHeight="true" outlineLevel="0" collapsed="false">
      <c r="A110" s="3" t="s">
        <v>129</v>
      </c>
      <c r="B110" s="3" t="s">
        <v>629</v>
      </c>
      <c r="C110" s="48" t="s">
        <v>630</v>
      </c>
      <c r="D110" s="48" t="s">
        <v>631</v>
      </c>
      <c r="E110" s="48" t="s">
        <v>632</v>
      </c>
      <c r="F110" s="3" t="n">
        <v>4</v>
      </c>
      <c r="G110" s="3" t="s">
        <v>633</v>
      </c>
      <c r="H110" s="3" t="s">
        <v>135</v>
      </c>
      <c r="K110" s="3" t="s">
        <v>136</v>
      </c>
      <c r="L110" s="3" t="n">
        <v>1307.62</v>
      </c>
      <c r="N110" s="3" t="n">
        <v>62.38</v>
      </c>
      <c r="P110" s="3" t="n">
        <v>150</v>
      </c>
      <c r="Q110" s="3" t="n">
        <v>1362.42</v>
      </c>
      <c r="R110" s="3" t="n">
        <v>0</v>
      </c>
      <c r="S110" s="3" t="n">
        <v>2026</v>
      </c>
    </row>
    <row r="111" customFormat="false" ht="13.8" hidden="false" customHeight="true" outlineLevel="0" collapsed="false">
      <c r="A111" s="3" t="s">
        <v>129</v>
      </c>
      <c r="B111" s="3" t="s">
        <v>634</v>
      </c>
      <c r="C111" s="48" t="s">
        <v>624</v>
      </c>
      <c r="D111" s="48" t="s">
        <v>632</v>
      </c>
      <c r="E111" s="48" t="s">
        <v>635</v>
      </c>
      <c r="F111" s="3" t="n">
        <v>3</v>
      </c>
      <c r="G111" s="3" t="s">
        <v>636</v>
      </c>
      <c r="H111" s="3" t="s">
        <v>135</v>
      </c>
      <c r="K111" s="3" t="s">
        <v>136</v>
      </c>
      <c r="L111" s="3" t="n">
        <v>868.57</v>
      </c>
      <c r="N111" s="3" t="n">
        <v>41.43</v>
      </c>
      <c r="P111" s="3" t="n">
        <v>150</v>
      </c>
      <c r="Q111" s="3" t="n">
        <v>904.97</v>
      </c>
      <c r="R111" s="3" t="n">
        <v>0</v>
      </c>
      <c r="S111" s="3" t="n">
        <v>2026</v>
      </c>
    </row>
    <row r="112" customFormat="false" ht="13.8" hidden="false" customHeight="true" outlineLevel="0" collapsed="false">
      <c r="A112" s="3" t="s">
        <v>129</v>
      </c>
      <c r="B112" s="3" t="s">
        <v>637</v>
      </c>
      <c r="C112" s="48" t="s">
        <v>638</v>
      </c>
      <c r="D112" s="48" t="s">
        <v>639</v>
      </c>
      <c r="E112" s="3" t="s">
        <v>640</v>
      </c>
      <c r="F112" s="3" t="n">
        <v>2</v>
      </c>
      <c r="G112" s="3" t="s">
        <v>641</v>
      </c>
      <c r="H112" s="3" t="s">
        <v>135</v>
      </c>
      <c r="K112" s="3" t="s">
        <v>136</v>
      </c>
      <c r="L112" s="3" t="n">
        <v>563.14</v>
      </c>
      <c r="N112" s="3" t="n">
        <v>26.86</v>
      </c>
      <c r="P112" s="3" t="n">
        <v>150</v>
      </c>
      <c r="Q112" s="3" t="n">
        <v>586.74</v>
      </c>
      <c r="R112" s="3" t="n">
        <v>0</v>
      </c>
      <c r="S112" s="3" t="n">
        <v>2026</v>
      </c>
    </row>
    <row r="113" customFormat="false" ht="13.8" hidden="false" customHeight="true" outlineLevel="0" collapsed="false">
      <c r="A113" s="3" t="s">
        <v>129</v>
      </c>
      <c r="B113" s="3" t="s">
        <v>642</v>
      </c>
      <c r="C113" s="48" t="s">
        <v>638</v>
      </c>
      <c r="D113" s="3" t="s">
        <v>640</v>
      </c>
      <c r="E113" s="3" t="s">
        <v>643</v>
      </c>
      <c r="F113" s="3" t="n">
        <v>2</v>
      </c>
      <c r="G113" s="3" t="s">
        <v>644</v>
      </c>
      <c r="H113" s="3" t="s">
        <v>135</v>
      </c>
      <c r="K113" s="3" t="s">
        <v>136</v>
      </c>
      <c r="L113" s="3" t="n">
        <v>713.94</v>
      </c>
      <c r="N113" s="3" t="n">
        <v>34.06</v>
      </c>
      <c r="P113" s="3" t="n">
        <v>150</v>
      </c>
      <c r="Q113" s="3" t="n">
        <v>743.86</v>
      </c>
      <c r="R113" s="3" t="n">
        <v>0</v>
      </c>
      <c r="S113" s="3" t="n">
        <v>2026</v>
      </c>
    </row>
    <row r="114" customFormat="false" ht="13.8" hidden="false" customHeight="true" outlineLevel="0" collapsed="false">
      <c r="A114" s="3" t="s">
        <v>129</v>
      </c>
      <c r="B114" s="3" t="s">
        <v>645</v>
      </c>
      <c r="C114" s="3" t="s">
        <v>604</v>
      </c>
      <c r="D114" s="3" t="s">
        <v>646</v>
      </c>
      <c r="E114" s="3" t="s">
        <v>647</v>
      </c>
      <c r="F114" s="3" t="n">
        <v>4</v>
      </c>
      <c r="G114" s="3" t="s">
        <v>648</v>
      </c>
      <c r="H114" s="3" t="s">
        <v>135</v>
      </c>
      <c r="K114" s="3" t="s">
        <v>136</v>
      </c>
      <c r="L114" s="3" t="n">
        <v>983.17</v>
      </c>
      <c r="N114" s="3" t="n">
        <v>46.89</v>
      </c>
      <c r="P114" s="3" t="n">
        <v>150</v>
      </c>
      <c r="Q114" s="3" t="n">
        <v>1024.37</v>
      </c>
      <c r="R114" s="3" t="n">
        <v>0</v>
      </c>
      <c r="S114" s="3" t="n">
        <v>2026</v>
      </c>
    </row>
    <row r="115" customFormat="false" ht="13.8" hidden="false" customHeight="true" outlineLevel="0" collapsed="false">
      <c r="A115" s="3" t="s">
        <v>129</v>
      </c>
      <c r="B115" s="3" t="s">
        <v>649</v>
      </c>
      <c r="C115" s="48" t="s">
        <v>632</v>
      </c>
      <c r="D115" s="3" t="s">
        <v>647</v>
      </c>
      <c r="E115" s="3" t="s">
        <v>650</v>
      </c>
      <c r="F115" s="3" t="n">
        <v>2</v>
      </c>
      <c r="G115" s="3" t="s">
        <v>651</v>
      </c>
      <c r="H115" s="3" t="s">
        <v>135</v>
      </c>
      <c r="K115" s="3" t="s">
        <v>136</v>
      </c>
      <c r="L115" s="3" t="n">
        <v>601.32</v>
      </c>
      <c r="N115" s="3" t="n">
        <v>28.68</v>
      </c>
      <c r="P115" s="3" t="n">
        <v>150</v>
      </c>
      <c r="Q115" s="3" t="n">
        <v>626.52</v>
      </c>
      <c r="R115" s="3" t="n">
        <v>0</v>
      </c>
      <c r="S115" s="3" t="n">
        <v>2026</v>
      </c>
    </row>
    <row r="116" customFormat="false" ht="13.8" hidden="false" customHeight="true" outlineLevel="0" collapsed="false">
      <c r="A116" s="3" t="s">
        <v>129</v>
      </c>
      <c r="B116" s="3" t="s">
        <v>652</v>
      </c>
      <c r="C116" s="3" t="s">
        <v>600</v>
      </c>
      <c r="D116" s="3" t="s">
        <v>650</v>
      </c>
      <c r="E116" s="3" t="s">
        <v>653</v>
      </c>
      <c r="F116" s="3" t="n">
        <v>3</v>
      </c>
      <c r="G116" s="3" t="s">
        <v>654</v>
      </c>
      <c r="H116" s="3" t="s">
        <v>135</v>
      </c>
      <c r="K116" s="3" t="s">
        <v>136</v>
      </c>
      <c r="L116" s="3" t="n">
        <v>887.63</v>
      </c>
      <c r="N116" s="3" t="n">
        <v>42.35</v>
      </c>
      <c r="P116" s="3" t="n">
        <v>150</v>
      </c>
      <c r="Q116" s="3" t="n">
        <v>924.83</v>
      </c>
      <c r="R116" s="3" t="n">
        <v>0</v>
      </c>
      <c r="S116" s="3" t="n">
        <v>2026</v>
      </c>
    </row>
    <row r="117" customFormat="false" ht="13.8" hidden="false" customHeight="true" outlineLevel="0" collapsed="false">
      <c r="A117" s="3" t="s">
        <v>129</v>
      </c>
      <c r="B117" s="3" t="s">
        <v>655</v>
      </c>
      <c r="C117" s="48" t="s">
        <v>656</v>
      </c>
      <c r="D117" s="3" t="s">
        <v>653</v>
      </c>
      <c r="E117" s="3" t="s">
        <v>657</v>
      </c>
      <c r="F117" s="3" t="n">
        <v>4</v>
      </c>
      <c r="G117" s="3" t="s">
        <v>658</v>
      </c>
      <c r="H117" s="3" t="s">
        <v>135</v>
      </c>
      <c r="K117" s="3" t="s">
        <v>136</v>
      </c>
      <c r="L117" s="3" t="n">
        <v>1040.31</v>
      </c>
      <c r="N117" s="3" t="n">
        <v>49.63</v>
      </c>
      <c r="P117" s="3" t="n">
        <v>150</v>
      </c>
      <c r="Q117" s="3" t="n">
        <v>1083.91</v>
      </c>
      <c r="R117" s="3" t="n">
        <v>0</v>
      </c>
      <c r="S117" s="3" t="n">
        <v>2026</v>
      </c>
    </row>
    <row r="120" customFormat="false" ht="13.8" hidden="false" customHeight="false" outlineLevel="0" collapsed="false">
      <c r="A120" s="3" t="s">
        <v>324</v>
      </c>
      <c r="B120" s="3" t="s">
        <v>325</v>
      </c>
      <c r="C120" s="3" t="s">
        <v>112</v>
      </c>
      <c r="D120" s="3" t="s">
        <v>326</v>
      </c>
      <c r="E120" s="3" t="s">
        <v>327</v>
      </c>
      <c r="F120" s="3" t="s">
        <v>115</v>
      </c>
      <c r="G120" s="3" t="s">
        <v>328</v>
      </c>
      <c r="H120" s="3" t="s">
        <v>329</v>
      </c>
      <c r="I120" s="3" t="s">
        <v>386</v>
      </c>
      <c r="J120" s="3" t="s">
        <v>330</v>
      </c>
      <c r="K120" s="3" t="s">
        <v>120</v>
      </c>
      <c r="L120" s="3" t="s">
        <v>40</v>
      </c>
      <c r="M120" s="3" t="s">
        <v>121</v>
      </c>
      <c r="N120" s="3" t="s">
        <v>331</v>
      </c>
      <c r="O120" s="3" t="s">
        <v>332</v>
      </c>
      <c r="P120" s="3" t="s">
        <v>124</v>
      </c>
      <c r="Q120" s="3" t="s">
        <v>126</v>
      </c>
      <c r="R120" s="3" t="s">
        <v>628</v>
      </c>
      <c r="S120" s="3" t="s">
        <v>128</v>
      </c>
    </row>
    <row r="121" customFormat="false" ht="13.8" hidden="false" customHeight="false" outlineLevel="0" collapsed="false">
      <c r="A121" s="3" t="s">
        <v>129</v>
      </c>
      <c r="B121" s="3" t="s">
        <v>659</v>
      </c>
      <c r="C121" s="3" t="s">
        <v>646</v>
      </c>
      <c r="D121" s="48" t="s">
        <v>660</v>
      </c>
      <c r="E121" s="48" t="s">
        <v>661</v>
      </c>
      <c r="F121" s="3" t="n">
        <v>1</v>
      </c>
      <c r="G121" s="3" t="s">
        <v>662</v>
      </c>
      <c r="H121" s="3" t="s">
        <v>135</v>
      </c>
      <c r="K121" s="3" t="s">
        <v>136</v>
      </c>
      <c r="L121" s="3" t="n">
        <v>314.97</v>
      </c>
      <c r="N121" s="3" t="n">
        <v>15.03</v>
      </c>
      <c r="P121" s="3" t="n">
        <v>150</v>
      </c>
      <c r="Q121" s="3" t="s">
        <v>586</v>
      </c>
      <c r="R121" s="3" t="s">
        <v>139</v>
      </c>
      <c r="S121" s="3" t="n">
        <v>2026</v>
      </c>
    </row>
    <row r="122" customFormat="false" ht="13.8" hidden="false" customHeight="false" outlineLevel="0" collapsed="false">
      <c r="A122" s="3" t="s">
        <v>129</v>
      </c>
      <c r="B122" s="3" t="s">
        <v>663</v>
      </c>
      <c r="C122" s="48" t="s">
        <v>664</v>
      </c>
      <c r="D122" s="48" t="s">
        <v>661</v>
      </c>
      <c r="E122" s="48" t="s">
        <v>665</v>
      </c>
      <c r="F122" s="3" t="n">
        <v>2</v>
      </c>
      <c r="G122" s="3" t="s">
        <v>666</v>
      </c>
      <c r="H122" s="3" t="s">
        <v>135</v>
      </c>
      <c r="K122" s="3" t="s">
        <v>136</v>
      </c>
      <c r="L122" s="3" t="n">
        <v>639.5</v>
      </c>
      <c r="N122" s="3" t="n">
        <v>30.5</v>
      </c>
      <c r="P122" s="3" t="n">
        <v>150</v>
      </c>
      <c r="Q122" s="3" t="s">
        <v>544</v>
      </c>
      <c r="R122" s="3" t="s">
        <v>139</v>
      </c>
      <c r="S122" s="3" t="n">
        <v>2026</v>
      </c>
    </row>
    <row r="123" customFormat="false" ht="13.8" hidden="false" customHeight="false" outlineLevel="0" collapsed="false">
      <c r="A123" s="3" t="s">
        <v>129</v>
      </c>
      <c r="B123" s="3" t="s">
        <v>667</v>
      </c>
      <c r="C123" s="48" t="s">
        <v>668</v>
      </c>
      <c r="D123" s="48" t="s">
        <v>669</v>
      </c>
      <c r="E123" s="48" t="s">
        <v>670</v>
      </c>
      <c r="F123" s="3" t="n">
        <v>3</v>
      </c>
      <c r="G123" s="3" t="s">
        <v>671</v>
      </c>
      <c r="H123" s="3" t="s">
        <v>135</v>
      </c>
      <c r="K123" s="3" t="s">
        <v>136</v>
      </c>
      <c r="L123" s="3" t="n">
        <v>561.23</v>
      </c>
      <c r="N123" s="3" t="n">
        <v>26.77</v>
      </c>
      <c r="P123" s="3" t="n">
        <v>150</v>
      </c>
      <c r="Q123" s="3" t="s">
        <v>672</v>
      </c>
      <c r="R123" s="3" t="s">
        <v>139</v>
      </c>
      <c r="S123" s="3" t="n">
        <v>2026</v>
      </c>
    </row>
    <row r="124" customFormat="false" ht="13.8" hidden="false" customHeight="false" outlineLevel="0" collapsed="false">
      <c r="A124" s="3" t="s">
        <v>129</v>
      </c>
      <c r="B124" s="3" t="s">
        <v>673</v>
      </c>
      <c r="C124" s="48" t="s">
        <v>656</v>
      </c>
      <c r="D124" s="48" t="s">
        <v>670</v>
      </c>
      <c r="E124" s="3" t="s">
        <v>674</v>
      </c>
      <c r="F124" s="3" t="n">
        <v>4</v>
      </c>
      <c r="G124" s="3" t="s">
        <v>675</v>
      </c>
      <c r="H124" s="3" t="s">
        <v>135</v>
      </c>
      <c r="K124" s="3" t="s">
        <v>136</v>
      </c>
      <c r="L124" s="3" t="n">
        <v>1021.35</v>
      </c>
      <c r="N124" s="3" t="n">
        <v>48.71</v>
      </c>
      <c r="P124" s="3" t="n">
        <v>150</v>
      </c>
      <c r="Q124" s="3" t="s">
        <v>676</v>
      </c>
      <c r="R124" s="3" t="s">
        <v>139</v>
      </c>
      <c r="S124" s="3" t="n">
        <v>2026</v>
      </c>
    </row>
    <row r="125" customFormat="false" ht="13.8" hidden="false" customHeight="false" outlineLevel="0" collapsed="false">
      <c r="A125" s="3" t="s">
        <v>129</v>
      </c>
      <c r="B125" s="3" t="s">
        <v>677</v>
      </c>
      <c r="C125" s="48" t="s">
        <v>639</v>
      </c>
      <c r="D125" s="3" t="s">
        <v>678</v>
      </c>
      <c r="E125" s="3" t="s">
        <v>679</v>
      </c>
      <c r="F125" s="3" t="n">
        <v>4</v>
      </c>
      <c r="G125" s="3" t="s">
        <v>680</v>
      </c>
      <c r="H125" s="3" t="s">
        <v>135</v>
      </c>
      <c r="K125" s="3" t="s">
        <v>136</v>
      </c>
      <c r="L125" s="3" t="n">
        <v>925.83</v>
      </c>
      <c r="N125" s="3" t="n">
        <v>44.17</v>
      </c>
      <c r="P125" s="3" t="n">
        <v>150</v>
      </c>
      <c r="Q125" s="3" t="s">
        <v>681</v>
      </c>
      <c r="R125" s="3" t="s">
        <v>139</v>
      </c>
      <c r="S125" s="3" t="n">
        <v>2026</v>
      </c>
    </row>
    <row r="126" customFormat="false" ht="13.8" hidden="false" customHeight="false" outlineLevel="0" collapsed="false">
      <c r="A126" s="3" t="s">
        <v>129</v>
      </c>
      <c r="B126" s="3" t="s">
        <v>682</v>
      </c>
      <c r="C126" s="48" t="s">
        <v>683</v>
      </c>
      <c r="D126" s="3" t="s">
        <v>679</v>
      </c>
      <c r="E126" s="3" t="s">
        <v>684</v>
      </c>
      <c r="F126" s="3" t="n">
        <v>2</v>
      </c>
      <c r="G126" s="3" t="s">
        <v>685</v>
      </c>
      <c r="H126" s="3" t="s">
        <v>135</v>
      </c>
      <c r="K126" s="3" t="s">
        <v>136</v>
      </c>
      <c r="L126" s="3" t="n">
        <v>544.05</v>
      </c>
      <c r="N126" s="3" t="n">
        <v>25.95</v>
      </c>
      <c r="P126" s="3" t="n">
        <v>150</v>
      </c>
      <c r="Q126" s="3" t="s">
        <v>627</v>
      </c>
      <c r="R126" s="3" t="s">
        <v>139</v>
      </c>
      <c r="S126" s="3" t="n">
        <v>2026</v>
      </c>
    </row>
    <row r="127" customFormat="false" ht="13.8" hidden="false" customHeight="false" outlineLevel="0" collapsed="false">
      <c r="A127" s="3" t="s">
        <v>129</v>
      </c>
      <c r="B127" s="3" t="s">
        <v>686</v>
      </c>
      <c r="C127" s="3" t="s">
        <v>643</v>
      </c>
      <c r="D127" s="3" t="s">
        <v>684</v>
      </c>
      <c r="E127" s="3" t="s">
        <v>687</v>
      </c>
      <c r="F127" s="3" t="n">
        <v>3</v>
      </c>
      <c r="G127" s="3" t="s">
        <v>688</v>
      </c>
      <c r="H127" s="3" t="s">
        <v>135</v>
      </c>
      <c r="K127" s="3" t="s">
        <v>136</v>
      </c>
      <c r="L127" s="3" t="n">
        <v>658.6</v>
      </c>
      <c r="N127" s="3" t="n">
        <v>31.42</v>
      </c>
      <c r="P127" s="3" t="n">
        <v>150</v>
      </c>
      <c r="Q127" s="3" t="s">
        <v>689</v>
      </c>
      <c r="R127" s="3" t="s">
        <v>139</v>
      </c>
      <c r="S127" s="3" t="n">
        <v>2026</v>
      </c>
    </row>
    <row r="128" customFormat="false" ht="13.8" hidden="false" customHeight="false" outlineLevel="0" collapsed="false">
      <c r="A128" s="3" t="s">
        <v>129</v>
      </c>
      <c r="B128" s="3" t="s">
        <v>690</v>
      </c>
      <c r="C128" s="3" t="s">
        <v>691</v>
      </c>
      <c r="D128" s="3" t="s">
        <v>687</v>
      </c>
      <c r="E128" s="3" t="s">
        <v>692</v>
      </c>
      <c r="F128" s="3" t="n">
        <v>1</v>
      </c>
      <c r="G128" s="3" t="s">
        <v>693</v>
      </c>
      <c r="H128" s="3" t="s">
        <v>135</v>
      </c>
      <c r="K128" s="3" t="s">
        <v>136</v>
      </c>
      <c r="L128" s="3" t="n">
        <v>314.97</v>
      </c>
      <c r="N128" s="3" t="n">
        <v>15.03</v>
      </c>
      <c r="P128" s="3" t="n">
        <v>150</v>
      </c>
      <c r="Q128" s="3" t="s">
        <v>586</v>
      </c>
      <c r="R128" s="3" t="s">
        <v>139</v>
      </c>
      <c r="S128" s="3" t="n">
        <v>2026</v>
      </c>
    </row>
    <row r="129" customFormat="false" ht="13.8" hidden="false" customHeight="false" outlineLevel="0" collapsed="false">
      <c r="A129" s="3" t="s">
        <v>129</v>
      </c>
      <c r="B129" s="3" t="s">
        <v>694</v>
      </c>
      <c r="C129" s="48" t="s">
        <v>695</v>
      </c>
      <c r="D129" s="3" t="s">
        <v>692</v>
      </c>
      <c r="E129" s="3" t="s">
        <v>696</v>
      </c>
      <c r="F129" s="3" t="n">
        <v>2</v>
      </c>
      <c r="G129" s="3" t="s">
        <v>697</v>
      </c>
      <c r="H129" s="3" t="s">
        <v>135</v>
      </c>
      <c r="K129" s="3" t="s">
        <v>136</v>
      </c>
      <c r="L129" s="3" t="n">
        <v>811.3</v>
      </c>
      <c r="N129" s="3" t="n">
        <v>38.7</v>
      </c>
      <c r="P129" s="3" t="n">
        <v>150</v>
      </c>
      <c r="Q129" s="3" t="s">
        <v>410</v>
      </c>
      <c r="R129" s="3" t="s">
        <v>139</v>
      </c>
      <c r="S129" s="3" t="n">
        <v>2026</v>
      </c>
    </row>
    <row r="130" customFormat="false" ht="13.8" hidden="false" customHeight="false" outlineLevel="0" collapsed="false">
      <c r="A130" s="3" t="s">
        <v>129</v>
      </c>
      <c r="B130" s="3" t="s">
        <v>698</v>
      </c>
      <c r="C130" s="3" t="s">
        <v>699</v>
      </c>
      <c r="D130" s="3" t="s">
        <v>696</v>
      </c>
      <c r="E130" s="3" t="s">
        <v>700</v>
      </c>
      <c r="F130" s="3" t="n">
        <v>2</v>
      </c>
      <c r="G130" s="3" t="s">
        <v>701</v>
      </c>
      <c r="H130" s="3" t="s">
        <v>135</v>
      </c>
      <c r="K130" s="3" t="s">
        <v>136</v>
      </c>
      <c r="L130" s="3" t="n">
        <v>448.6</v>
      </c>
      <c r="N130" s="3" t="n">
        <v>21.4</v>
      </c>
      <c r="P130" s="3" t="n">
        <v>150</v>
      </c>
      <c r="Q130" s="3" t="s">
        <v>434</v>
      </c>
      <c r="R130" s="3" t="s">
        <v>139</v>
      </c>
      <c r="S130" s="3" t="n">
        <v>2026</v>
      </c>
    </row>
    <row r="132" customFormat="false" ht="13.8" hidden="false" customHeight="true" outlineLevel="0" collapsed="false">
      <c r="C132" s="3" t="s">
        <v>112</v>
      </c>
      <c r="D132" s="3" t="s">
        <v>326</v>
      </c>
      <c r="E132" s="3" t="s">
        <v>327</v>
      </c>
      <c r="F132" s="3" t="s">
        <v>115</v>
      </c>
      <c r="G132" s="3" t="s">
        <v>328</v>
      </c>
      <c r="H132" s="3" t="s">
        <v>329</v>
      </c>
      <c r="I132" s="3" t="s">
        <v>386</v>
      </c>
      <c r="J132" s="3" t="s">
        <v>330</v>
      </c>
      <c r="K132" s="3" t="s">
        <v>120</v>
      </c>
      <c r="L132" s="3" t="s">
        <v>40</v>
      </c>
      <c r="M132" s="3" t="s">
        <v>121</v>
      </c>
      <c r="N132" s="3" t="s">
        <v>331</v>
      </c>
      <c r="O132" s="3" t="s">
        <v>332</v>
      </c>
      <c r="P132" s="3" t="s">
        <v>124</v>
      </c>
      <c r="Q132" s="3" t="s">
        <v>126</v>
      </c>
      <c r="R132" s="3" t="s">
        <v>628</v>
      </c>
      <c r="S132" s="3" t="s">
        <v>128</v>
      </c>
    </row>
    <row r="133" customFormat="false" ht="13.8" hidden="false" customHeight="true" outlineLevel="0" collapsed="false">
      <c r="C133" s="3" t="s">
        <v>702</v>
      </c>
      <c r="D133" s="3" t="s">
        <v>703</v>
      </c>
      <c r="E133" s="48" t="s">
        <v>704</v>
      </c>
      <c r="F133" s="3" t="n">
        <v>3</v>
      </c>
      <c r="G133" s="3" t="s">
        <v>549</v>
      </c>
      <c r="H133" s="3" t="s">
        <v>135</v>
      </c>
      <c r="K133" s="3" t="s">
        <v>136</v>
      </c>
      <c r="L133" s="3" t="n">
        <v>1116.73</v>
      </c>
      <c r="N133" s="3" t="n">
        <v>53.27</v>
      </c>
      <c r="P133" s="3" t="n">
        <v>150</v>
      </c>
      <c r="Q133" s="3" t="s">
        <v>705</v>
      </c>
      <c r="R133" s="3" t="s">
        <v>139</v>
      </c>
      <c r="S133" s="3" t="n">
        <v>2026</v>
      </c>
    </row>
    <row r="134" customFormat="false" ht="13.8" hidden="false" customHeight="true" outlineLevel="0" collapsed="false">
      <c r="C134" s="3" t="s">
        <v>706</v>
      </c>
      <c r="D134" s="48" t="s">
        <v>707</v>
      </c>
      <c r="E134" s="48" t="s">
        <v>708</v>
      </c>
      <c r="F134" s="3" t="n">
        <v>1</v>
      </c>
      <c r="G134" s="3" t="s">
        <v>709</v>
      </c>
      <c r="H134" s="3" t="s">
        <v>135</v>
      </c>
      <c r="K134" s="3" t="s">
        <v>136</v>
      </c>
      <c r="L134" s="3" t="n">
        <v>300.65</v>
      </c>
      <c r="N134" s="3" t="n">
        <v>14.35</v>
      </c>
      <c r="P134" s="3" t="n">
        <v>150</v>
      </c>
      <c r="Q134" s="3" t="s">
        <v>710</v>
      </c>
      <c r="R134" s="3" t="s">
        <v>139</v>
      </c>
      <c r="S134" s="3" t="n">
        <v>2026</v>
      </c>
    </row>
    <row r="135" customFormat="false" ht="13.8" hidden="false" customHeight="true" outlineLevel="0" collapsed="false">
      <c r="C135" s="3" t="s">
        <v>706</v>
      </c>
      <c r="D135" s="48" t="s">
        <v>711</v>
      </c>
      <c r="E135" s="48" t="s">
        <v>712</v>
      </c>
      <c r="F135" s="3" t="n">
        <v>2</v>
      </c>
      <c r="G135" s="3" t="s">
        <v>713</v>
      </c>
      <c r="H135" s="3" t="s">
        <v>135</v>
      </c>
      <c r="K135" s="3" t="s">
        <v>136</v>
      </c>
      <c r="L135" s="3" t="n">
        <v>458.15</v>
      </c>
      <c r="N135" s="3" t="n">
        <v>21.85</v>
      </c>
      <c r="P135" s="3" t="n">
        <v>150</v>
      </c>
      <c r="Q135" s="3" t="s">
        <v>714</v>
      </c>
      <c r="R135" s="3" t="s">
        <v>139</v>
      </c>
      <c r="S135" s="3" t="n">
        <v>2026</v>
      </c>
    </row>
    <row r="136" customFormat="false" ht="13.8" hidden="false" customHeight="true" outlineLevel="0" collapsed="false">
      <c r="C136" s="48" t="s">
        <v>656</v>
      </c>
      <c r="D136" s="48" t="s">
        <v>712</v>
      </c>
      <c r="E136" s="48" t="s">
        <v>715</v>
      </c>
      <c r="F136" s="3" t="n">
        <v>2</v>
      </c>
      <c r="G136" s="3" t="s">
        <v>716</v>
      </c>
      <c r="H136" s="3" t="s">
        <v>135</v>
      </c>
      <c r="K136" s="3" t="s">
        <v>136</v>
      </c>
      <c r="L136" s="3" t="n">
        <v>868.57</v>
      </c>
      <c r="N136" s="3" t="n">
        <v>41.43</v>
      </c>
      <c r="P136" s="3" t="n">
        <v>150</v>
      </c>
      <c r="Q136" s="3" t="s">
        <v>717</v>
      </c>
      <c r="R136" s="3" t="s">
        <v>139</v>
      </c>
      <c r="S136" s="3" t="n">
        <v>2026</v>
      </c>
    </row>
    <row r="137" customFormat="false" ht="13.8" hidden="false" customHeight="true" outlineLevel="0" collapsed="false">
      <c r="C137" s="48" t="s">
        <v>661</v>
      </c>
      <c r="D137" s="48" t="s">
        <v>718</v>
      </c>
      <c r="E137" s="3" t="s">
        <v>719</v>
      </c>
      <c r="F137" s="3" t="n">
        <v>2</v>
      </c>
      <c r="G137" s="3" t="s">
        <v>720</v>
      </c>
      <c r="H137" s="3" t="s">
        <v>135</v>
      </c>
      <c r="K137" s="3" t="s">
        <v>136</v>
      </c>
      <c r="L137" s="3" t="n">
        <v>486.79</v>
      </c>
      <c r="N137" s="3" t="n">
        <v>23.21</v>
      </c>
      <c r="P137" s="3" t="n">
        <v>150</v>
      </c>
      <c r="Q137" s="3" t="s">
        <v>581</v>
      </c>
      <c r="R137" s="3" t="s">
        <v>139</v>
      </c>
      <c r="S137" s="3" t="n">
        <v>2026</v>
      </c>
    </row>
    <row r="138" customFormat="false" ht="13.8" hidden="false" customHeight="true" outlineLevel="0" collapsed="false">
      <c r="C138" s="3" t="s">
        <v>721</v>
      </c>
      <c r="D138" s="3" t="s">
        <v>722</v>
      </c>
      <c r="E138" s="3" t="s">
        <v>723</v>
      </c>
      <c r="F138" s="3" t="n">
        <v>2</v>
      </c>
      <c r="G138" s="3" t="s">
        <v>724</v>
      </c>
      <c r="H138" s="3" t="s">
        <v>135</v>
      </c>
      <c r="K138" s="3" t="s">
        <v>136</v>
      </c>
      <c r="L138" s="3" t="n">
        <v>868.57</v>
      </c>
      <c r="N138" s="3" t="n">
        <v>41.43</v>
      </c>
      <c r="P138" s="3" t="n">
        <v>150</v>
      </c>
      <c r="Q138" s="3" t="s">
        <v>717</v>
      </c>
      <c r="R138" s="3" t="s">
        <v>139</v>
      </c>
      <c r="S138" s="3" t="n">
        <v>2026</v>
      </c>
    </row>
    <row r="139" customFormat="false" ht="13.8" hidden="false" customHeight="true" outlineLevel="0" collapsed="false">
      <c r="C139" s="3" t="s">
        <v>703</v>
      </c>
      <c r="D139" s="3" t="s">
        <v>723</v>
      </c>
      <c r="E139" s="3" t="s">
        <v>725</v>
      </c>
      <c r="F139" s="3" t="n">
        <v>4</v>
      </c>
      <c r="G139" s="3" t="s">
        <v>726</v>
      </c>
      <c r="H139" s="3" t="s">
        <v>135</v>
      </c>
      <c r="K139" s="3" t="s">
        <v>136</v>
      </c>
      <c r="L139" s="3" t="n">
        <v>792.21</v>
      </c>
      <c r="N139" s="3" t="n">
        <v>37.79</v>
      </c>
      <c r="P139" s="3" t="n">
        <v>150</v>
      </c>
      <c r="Q139" s="3" t="s">
        <v>343</v>
      </c>
      <c r="R139" s="3" t="s">
        <v>139</v>
      </c>
      <c r="S139" s="3" t="n">
        <v>2026</v>
      </c>
    </row>
    <row r="140" customFormat="false" ht="13.8" hidden="false" customHeight="true" outlineLevel="0" collapsed="false">
      <c r="C140" s="3" t="s">
        <v>684</v>
      </c>
      <c r="D140" s="3" t="s">
        <v>727</v>
      </c>
      <c r="E140" s="3" t="s">
        <v>728</v>
      </c>
      <c r="F140" s="3" t="n">
        <v>4</v>
      </c>
      <c r="G140" s="3" t="s">
        <v>729</v>
      </c>
      <c r="H140" s="3" t="s">
        <v>135</v>
      </c>
      <c r="K140" s="3" t="s">
        <v>136</v>
      </c>
      <c r="L140" s="3" t="n">
        <v>1021.29</v>
      </c>
      <c r="N140" s="3" t="n">
        <v>48.71</v>
      </c>
      <c r="P140" s="3" t="n">
        <v>150</v>
      </c>
      <c r="Q140" s="3" t="s">
        <v>730</v>
      </c>
      <c r="R140" s="3" t="s">
        <v>139</v>
      </c>
      <c r="S140" s="3" t="n">
        <v>2026</v>
      </c>
    </row>
    <row r="141" customFormat="false" ht="13.8" hidden="false" customHeight="true" outlineLevel="0" collapsed="false">
      <c r="C141" s="3" t="s">
        <v>731</v>
      </c>
      <c r="D141" s="3" t="s">
        <v>728</v>
      </c>
      <c r="E141" s="3" t="s">
        <v>732</v>
      </c>
      <c r="F141" s="3" t="n">
        <v>4</v>
      </c>
      <c r="G141" s="3" t="s">
        <v>733</v>
      </c>
      <c r="H141" s="3" t="s">
        <v>135</v>
      </c>
      <c r="K141" s="3" t="s">
        <v>136</v>
      </c>
      <c r="L141" s="3" t="n">
        <v>782.66</v>
      </c>
      <c r="N141" s="3" t="n">
        <v>37.34</v>
      </c>
      <c r="P141" s="3" t="n">
        <v>150</v>
      </c>
      <c r="Q141" s="3" t="s">
        <v>734</v>
      </c>
      <c r="R141" s="3" t="s">
        <v>139</v>
      </c>
      <c r="S141" s="3" t="n">
        <v>2026</v>
      </c>
    </row>
    <row r="142" customFormat="false" ht="13.8" hidden="false" customHeight="true" outlineLevel="0" collapsed="false">
      <c r="C142" s="48" t="s">
        <v>639</v>
      </c>
      <c r="D142" s="3" t="s">
        <v>732</v>
      </c>
      <c r="E142" s="48" t="s">
        <v>735</v>
      </c>
      <c r="F142" s="3" t="n">
        <v>2</v>
      </c>
      <c r="G142" s="3" t="s">
        <v>736</v>
      </c>
      <c r="H142" s="3" t="s">
        <v>135</v>
      </c>
      <c r="K142" s="3" t="s">
        <v>136</v>
      </c>
      <c r="L142" s="3" t="n">
        <v>620.4</v>
      </c>
      <c r="N142" s="3" t="n">
        <v>29.6</v>
      </c>
      <c r="P142" s="3" t="n">
        <v>150</v>
      </c>
      <c r="Q142" s="3" t="s">
        <v>737</v>
      </c>
      <c r="R142" s="3" t="s">
        <v>139</v>
      </c>
      <c r="S142" s="3" t="n">
        <v>2026</v>
      </c>
    </row>
    <row r="145" customFormat="false" ht="13.8" hidden="false" customHeight="true" outlineLevel="0" collapsed="false">
      <c r="C145" s="3" t="s">
        <v>112</v>
      </c>
      <c r="D145" s="3" t="s">
        <v>326</v>
      </c>
      <c r="E145" s="3" t="s">
        <v>327</v>
      </c>
      <c r="F145" s="3" t="s">
        <v>115</v>
      </c>
      <c r="G145" s="3" t="s">
        <v>328</v>
      </c>
      <c r="H145" s="3" t="s">
        <v>329</v>
      </c>
      <c r="I145" s="3" t="s">
        <v>386</v>
      </c>
      <c r="J145" s="3" t="s">
        <v>330</v>
      </c>
      <c r="K145" s="3" t="s">
        <v>120</v>
      </c>
      <c r="L145" s="3" t="s">
        <v>40</v>
      </c>
      <c r="M145" s="3" t="s">
        <v>121</v>
      </c>
      <c r="N145" s="3" t="s">
        <v>331</v>
      </c>
      <c r="O145" s="3" t="s">
        <v>332</v>
      </c>
      <c r="P145" s="3" t="s">
        <v>124</v>
      </c>
      <c r="Q145" s="3" t="s">
        <v>126</v>
      </c>
      <c r="R145" s="3" t="s">
        <v>628</v>
      </c>
      <c r="S145" s="3" t="s">
        <v>128</v>
      </c>
    </row>
    <row r="146" customFormat="false" ht="13.8" hidden="false" customHeight="true" outlineLevel="0" collapsed="false">
      <c r="C146" s="3" t="s">
        <v>738</v>
      </c>
      <c r="D146" s="48" t="s">
        <v>739</v>
      </c>
      <c r="E146" s="48" t="s">
        <v>740</v>
      </c>
      <c r="F146" s="3" t="n">
        <v>1</v>
      </c>
      <c r="G146" s="3" t="s">
        <v>741</v>
      </c>
      <c r="H146" s="3" t="s">
        <v>135</v>
      </c>
      <c r="K146" s="3" t="s">
        <v>136</v>
      </c>
      <c r="L146" s="3" t="n">
        <v>286.33</v>
      </c>
      <c r="N146" s="3" t="n">
        <v>13.67</v>
      </c>
      <c r="P146" s="3" t="n">
        <v>150</v>
      </c>
      <c r="Q146" s="3" t="n">
        <v>298.33</v>
      </c>
      <c r="R146" s="3" t="n">
        <v>0</v>
      </c>
      <c r="S146" s="3" t="n">
        <v>2026</v>
      </c>
    </row>
    <row r="147" customFormat="false" ht="13.8" hidden="false" customHeight="true" outlineLevel="0" collapsed="false">
      <c r="C147" s="3" t="s">
        <v>742</v>
      </c>
      <c r="D147" s="48" t="s">
        <v>740</v>
      </c>
      <c r="E147" s="48" t="s">
        <v>743</v>
      </c>
      <c r="F147" s="3" t="n">
        <v>1</v>
      </c>
      <c r="G147" s="3" t="s">
        <v>744</v>
      </c>
      <c r="H147" s="3" t="s">
        <v>135</v>
      </c>
      <c r="K147" s="3" t="s">
        <v>136</v>
      </c>
      <c r="L147" s="3" t="n">
        <v>286.33</v>
      </c>
      <c r="N147" s="3" t="n">
        <v>13.67</v>
      </c>
      <c r="P147" s="3" t="n">
        <v>150</v>
      </c>
      <c r="Q147" s="3" t="n">
        <v>298.33</v>
      </c>
      <c r="R147" s="3" t="n">
        <v>0</v>
      </c>
      <c r="S147" s="3" t="n">
        <v>2026</v>
      </c>
    </row>
    <row r="148" customFormat="false" ht="13.8" hidden="false" customHeight="true" outlineLevel="0" collapsed="false">
      <c r="C148" s="3" t="s">
        <v>653</v>
      </c>
      <c r="D148" s="48" t="s">
        <v>743</v>
      </c>
      <c r="E148" s="48" t="s">
        <v>745</v>
      </c>
      <c r="F148" s="3" t="n">
        <v>5</v>
      </c>
      <c r="G148" s="3" t="s">
        <v>746</v>
      </c>
      <c r="H148" s="3" t="s">
        <v>135</v>
      </c>
      <c r="K148" s="3" t="s">
        <v>136</v>
      </c>
      <c r="L148" s="3" t="n">
        <v>1326.71</v>
      </c>
      <c r="N148" s="3" t="n">
        <v>63.29</v>
      </c>
      <c r="P148" s="3" t="n">
        <v>150</v>
      </c>
      <c r="Q148" s="3" t="n">
        <v>1382.31</v>
      </c>
      <c r="R148" s="3" t="n">
        <v>0</v>
      </c>
      <c r="S148" s="3" t="n">
        <v>2026</v>
      </c>
    </row>
    <row r="149" customFormat="false" ht="13.8" hidden="false" customHeight="true" outlineLevel="0" collapsed="false">
      <c r="C149" s="48" t="s">
        <v>747</v>
      </c>
      <c r="D149" s="48" t="s">
        <v>747</v>
      </c>
      <c r="E149" s="3" t="s">
        <v>748</v>
      </c>
      <c r="F149" s="3" t="n">
        <v>3</v>
      </c>
      <c r="G149" s="3" t="s">
        <v>749</v>
      </c>
      <c r="H149" s="3" t="s">
        <v>135</v>
      </c>
      <c r="K149" s="3" t="s">
        <v>136</v>
      </c>
      <c r="L149" s="3" t="n">
        <v>620.4</v>
      </c>
      <c r="N149" s="3" t="n">
        <v>29.6</v>
      </c>
      <c r="P149" s="3" t="n">
        <v>150</v>
      </c>
      <c r="Q149" s="3" t="n">
        <v>646.4</v>
      </c>
      <c r="R149" s="3" t="n">
        <v>0</v>
      </c>
      <c r="S149" s="3" t="n">
        <v>2026</v>
      </c>
    </row>
    <row r="150" customFormat="false" ht="13.8" hidden="false" customHeight="true" outlineLevel="0" collapsed="false">
      <c r="C150" s="48" t="s">
        <v>740</v>
      </c>
      <c r="D150" s="3" t="s">
        <v>748</v>
      </c>
      <c r="E150" s="3" t="s">
        <v>750</v>
      </c>
      <c r="F150" s="3" t="n">
        <v>2</v>
      </c>
      <c r="G150" s="3" t="s">
        <v>751</v>
      </c>
      <c r="H150" s="3" t="s">
        <v>135</v>
      </c>
      <c r="K150" s="3" t="s">
        <v>136</v>
      </c>
      <c r="L150" s="3" t="n">
        <v>496.32</v>
      </c>
      <c r="N150" s="3" t="n">
        <v>23.68</v>
      </c>
      <c r="P150" s="3" t="n">
        <v>150</v>
      </c>
      <c r="Q150" s="3" t="n">
        <v>517.12</v>
      </c>
      <c r="R150" s="3" t="n">
        <v>0</v>
      </c>
      <c r="S150" s="3" t="n">
        <v>2026</v>
      </c>
    </row>
    <row r="151" customFormat="false" ht="13.8" hidden="false" customHeight="true" outlineLevel="0" collapsed="false">
      <c r="C151" s="3" t="s">
        <v>728</v>
      </c>
      <c r="D151" s="3" t="s">
        <v>750</v>
      </c>
      <c r="E151" s="3" t="s">
        <v>752</v>
      </c>
      <c r="F151" s="3" t="n">
        <v>4</v>
      </c>
      <c r="G151" s="3" t="s">
        <v>753</v>
      </c>
      <c r="H151" s="3" t="s">
        <v>135</v>
      </c>
      <c r="K151" s="3" t="s">
        <v>136</v>
      </c>
      <c r="L151" s="3" t="n">
        <v>486.79</v>
      </c>
      <c r="N151" s="3" t="n">
        <v>23.22</v>
      </c>
      <c r="P151" s="3" t="n">
        <v>150</v>
      </c>
      <c r="Q151" s="3" t="n">
        <v>507.19</v>
      </c>
      <c r="R151" s="3" t="n">
        <v>0</v>
      </c>
      <c r="S151" s="3" t="n">
        <v>2026</v>
      </c>
    </row>
    <row r="152" customFormat="false" ht="13.8" hidden="false" customHeight="true" outlineLevel="0" collapsed="false">
      <c r="C152" s="3" t="s">
        <v>728</v>
      </c>
      <c r="D152" s="3" t="s">
        <v>750</v>
      </c>
      <c r="E152" s="3" t="s">
        <v>752</v>
      </c>
      <c r="F152" s="3" t="n">
        <v>4</v>
      </c>
      <c r="G152" s="3" t="s">
        <v>753</v>
      </c>
      <c r="H152" s="3" t="s">
        <v>135</v>
      </c>
      <c r="K152" s="3" t="s">
        <v>136</v>
      </c>
      <c r="L152" s="3" t="n">
        <v>265.33</v>
      </c>
      <c r="N152" s="3" t="n">
        <v>12.66</v>
      </c>
      <c r="P152" s="3" t="n">
        <v>0</v>
      </c>
      <c r="Q152" s="3" t="n">
        <v>276.45</v>
      </c>
      <c r="R152" s="3" t="n">
        <v>0</v>
      </c>
      <c r="S152" s="3" t="n">
        <v>2026</v>
      </c>
    </row>
    <row r="153" customFormat="false" ht="13.8" hidden="false" customHeight="true" outlineLevel="0" collapsed="false">
      <c r="C153" s="3" t="s">
        <v>706</v>
      </c>
      <c r="D153" s="3" t="s">
        <v>752</v>
      </c>
      <c r="E153" s="3" t="s">
        <v>754</v>
      </c>
      <c r="F153" s="3" t="n">
        <v>2</v>
      </c>
      <c r="G153" s="3" t="s">
        <v>755</v>
      </c>
      <c r="H153" s="3" t="s">
        <v>135</v>
      </c>
      <c r="K153" s="3" t="s">
        <v>136</v>
      </c>
      <c r="L153" s="3" t="n">
        <v>715.85</v>
      </c>
      <c r="N153" s="3" t="n">
        <v>34.15</v>
      </c>
      <c r="P153" s="3" t="n">
        <v>150</v>
      </c>
      <c r="Q153" s="3" t="n">
        <v>745.85</v>
      </c>
      <c r="R153" s="3" t="n">
        <v>0</v>
      </c>
      <c r="S153" s="3" t="n">
        <v>2026</v>
      </c>
    </row>
    <row r="154" customFormat="false" ht="13.8" hidden="false" customHeight="true" outlineLevel="0" collapsed="false">
      <c r="C154" s="3" t="s">
        <v>750</v>
      </c>
      <c r="D154" s="3" t="s">
        <v>754</v>
      </c>
      <c r="E154" s="3" t="s">
        <v>756</v>
      </c>
      <c r="F154" s="3" t="n">
        <v>2</v>
      </c>
      <c r="G154" s="3" t="s">
        <v>757</v>
      </c>
      <c r="H154" s="3" t="s">
        <v>135</v>
      </c>
      <c r="K154" s="3" t="s">
        <v>136</v>
      </c>
      <c r="L154" s="3" t="n">
        <v>446.69</v>
      </c>
      <c r="N154" s="3" t="n">
        <v>21.31</v>
      </c>
      <c r="P154" s="3" t="n">
        <v>150</v>
      </c>
      <c r="Q154" s="3" t="n">
        <v>465.41</v>
      </c>
      <c r="R154" s="3" t="n">
        <v>0</v>
      </c>
      <c r="S154" s="3" t="n">
        <v>2026</v>
      </c>
    </row>
    <row r="155" customFormat="false" ht="13.8" hidden="false" customHeight="true" outlineLevel="0" collapsed="false">
      <c r="C155" s="3" t="s">
        <v>727</v>
      </c>
      <c r="D155" s="3" t="s">
        <v>758</v>
      </c>
      <c r="E155" s="48" t="s">
        <v>759</v>
      </c>
      <c r="F155" s="3" t="n">
        <v>10</v>
      </c>
      <c r="G155" s="3" t="s">
        <v>760</v>
      </c>
      <c r="H155" s="3" t="s">
        <v>135</v>
      </c>
      <c r="K155" s="3" t="s">
        <v>136</v>
      </c>
      <c r="L155" s="3" t="n">
        <v>2185.74</v>
      </c>
      <c r="N155" s="3" t="n">
        <v>104.26</v>
      </c>
      <c r="P155" s="3" t="n">
        <v>150</v>
      </c>
      <c r="Q155" s="3" t="n">
        <v>2277.34</v>
      </c>
      <c r="R155" s="3" t="n">
        <v>0</v>
      </c>
      <c r="S155" s="3" t="n">
        <v>2026</v>
      </c>
    </row>
    <row r="157" customFormat="false" ht="13.8" hidden="false" customHeight="true" outlineLevel="0" collapsed="false">
      <c r="C157" s="3" t="s">
        <v>761</v>
      </c>
      <c r="D157" s="48" t="s">
        <v>759</v>
      </c>
      <c r="E157" s="48" t="s">
        <v>762</v>
      </c>
      <c r="F157" s="3" t="n">
        <v>2</v>
      </c>
      <c r="G157" s="3" t="s">
        <v>763</v>
      </c>
      <c r="H157" s="3" t="s">
        <v>135</v>
      </c>
      <c r="K157" s="3" t="s">
        <v>136</v>
      </c>
      <c r="L157" s="3" t="n">
        <v>494.42</v>
      </c>
      <c r="N157" s="3" t="n">
        <v>23.58</v>
      </c>
      <c r="P157" s="3" t="s">
        <v>138</v>
      </c>
      <c r="Q157" s="3" t="s">
        <v>764</v>
      </c>
      <c r="R157" s="3" t="s">
        <v>139</v>
      </c>
      <c r="S157" s="3" t="n">
        <v>2026</v>
      </c>
    </row>
    <row r="158" customFormat="false" ht="13.8" hidden="false" customHeight="true" outlineLevel="0" collapsed="false">
      <c r="C158" s="48" t="s">
        <v>765</v>
      </c>
      <c r="D158" s="48" t="s">
        <v>762</v>
      </c>
      <c r="E158" s="48" t="s">
        <v>766</v>
      </c>
      <c r="F158" s="3" t="n">
        <v>2</v>
      </c>
      <c r="G158" s="3" t="s">
        <v>767</v>
      </c>
      <c r="H158" s="3" t="s">
        <v>135</v>
      </c>
      <c r="K158" s="3" t="s">
        <v>136</v>
      </c>
      <c r="L158" s="3" t="n">
        <v>492.58</v>
      </c>
      <c r="N158" s="3" t="n">
        <v>17.42</v>
      </c>
      <c r="P158" s="3" t="s">
        <v>138</v>
      </c>
      <c r="Q158" s="3" t="s">
        <v>188</v>
      </c>
      <c r="R158" s="3" t="s">
        <v>139</v>
      </c>
      <c r="S158" s="3" t="n">
        <v>2026</v>
      </c>
    </row>
    <row r="159" customFormat="false" ht="13.8" hidden="false" customHeight="true" outlineLevel="0" collapsed="false">
      <c r="C159" s="48" t="s">
        <v>745</v>
      </c>
      <c r="D159" s="48" t="s">
        <v>766</v>
      </c>
      <c r="E159" s="48" t="s">
        <v>768</v>
      </c>
      <c r="F159" s="3" t="n">
        <v>3</v>
      </c>
      <c r="G159" s="3" t="s">
        <v>769</v>
      </c>
      <c r="H159" s="3" t="s">
        <v>135</v>
      </c>
      <c r="K159" s="3" t="s">
        <v>136</v>
      </c>
      <c r="L159" s="3" t="n">
        <v>715.85</v>
      </c>
      <c r="N159" s="3" t="n">
        <v>34.15</v>
      </c>
      <c r="P159" s="3" t="s">
        <v>138</v>
      </c>
      <c r="Q159" s="3" t="s">
        <v>385</v>
      </c>
      <c r="R159" s="3" t="s">
        <v>139</v>
      </c>
      <c r="S159" s="3" t="n">
        <v>2026</v>
      </c>
    </row>
    <row r="160" customFormat="false" ht="13.8" hidden="false" customHeight="true" outlineLevel="0" collapsed="false">
      <c r="C160" s="48" t="s">
        <v>770</v>
      </c>
      <c r="D160" s="48" t="s">
        <v>768</v>
      </c>
      <c r="E160" s="3" t="s">
        <v>771</v>
      </c>
      <c r="F160" s="3" t="n">
        <v>3</v>
      </c>
      <c r="G160" s="3" t="s">
        <v>772</v>
      </c>
      <c r="H160" s="3" t="s">
        <v>135</v>
      </c>
      <c r="K160" s="3" t="s">
        <v>136</v>
      </c>
      <c r="L160" s="3" t="n">
        <v>887.65</v>
      </c>
      <c r="N160" s="3" t="n">
        <v>42.35</v>
      </c>
      <c r="P160" s="3" t="s">
        <v>138</v>
      </c>
      <c r="Q160" s="3" t="s">
        <v>773</v>
      </c>
      <c r="R160" s="3" t="s">
        <v>139</v>
      </c>
      <c r="S160" s="3" t="n">
        <v>2026</v>
      </c>
    </row>
    <row r="161" customFormat="false" ht="13.8" hidden="false" customHeight="true" outlineLevel="0" collapsed="false">
      <c r="C161" s="3" t="s">
        <v>774</v>
      </c>
      <c r="D161" s="3" t="s">
        <v>775</v>
      </c>
      <c r="E161" s="3" t="s">
        <v>776</v>
      </c>
      <c r="F161" s="3" t="n">
        <v>3</v>
      </c>
      <c r="G161" s="3" t="s">
        <v>777</v>
      </c>
      <c r="H161" s="3" t="s">
        <v>135</v>
      </c>
      <c r="K161" s="3" t="s">
        <v>136</v>
      </c>
      <c r="L161" s="3" t="n">
        <v>722.53</v>
      </c>
      <c r="N161" s="3" t="n">
        <v>34.47</v>
      </c>
      <c r="P161" s="3" t="s">
        <v>138</v>
      </c>
      <c r="Q161" s="3" t="s">
        <v>778</v>
      </c>
      <c r="R161" s="3" t="s">
        <v>139</v>
      </c>
      <c r="S161" s="3" t="n">
        <v>2026</v>
      </c>
    </row>
    <row r="162" customFormat="false" ht="13.8" hidden="false" customHeight="true" outlineLevel="0" collapsed="false">
      <c r="C162" s="3" t="s">
        <v>779</v>
      </c>
      <c r="D162" s="3" t="s">
        <v>776</v>
      </c>
      <c r="E162" s="3" t="s">
        <v>780</v>
      </c>
      <c r="F162" s="3" t="n">
        <v>4</v>
      </c>
      <c r="G162" s="3" t="s">
        <v>781</v>
      </c>
      <c r="H162" s="3" t="s">
        <v>135</v>
      </c>
      <c r="K162" s="3" t="s">
        <v>136</v>
      </c>
      <c r="L162" s="3" t="n">
        <v>1112.91</v>
      </c>
      <c r="N162" s="3" t="n">
        <v>53.09</v>
      </c>
      <c r="P162" s="3" t="s">
        <v>138</v>
      </c>
      <c r="Q162" s="3" t="s">
        <v>782</v>
      </c>
      <c r="R162" s="3" t="s">
        <v>139</v>
      </c>
      <c r="S162" s="3" t="n">
        <v>2026</v>
      </c>
    </row>
    <row r="163" customFormat="false" ht="13.8" hidden="false" customHeight="true" outlineLevel="0" collapsed="false">
      <c r="C163" s="48" t="s">
        <v>707</v>
      </c>
      <c r="D163" s="3" t="s">
        <v>783</v>
      </c>
      <c r="E163" s="3" t="s">
        <v>784</v>
      </c>
      <c r="F163" s="3" t="n">
        <v>4</v>
      </c>
      <c r="G163" s="3" t="s">
        <v>785</v>
      </c>
      <c r="H163" s="3" t="s">
        <v>135</v>
      </c>
      <c r="I163" s="3" t="s">
        <v>786</v>
      </c>
      <c r="K163" s="3" t="s">
        <v>136</v>
      </c>
      <c r="L163" s="3" t="n">
        <f aca="false">1097.64+120</f>
        <v>1217.64</v>
      </c>
      <c r="N163" s="3" t="n">
        <v>52.36</v>
      </c>
      <c r="P163" s="3" t="s">
        <v>138</v>
      </c>
      <c r="Q163" s="3" t="s">
        <v>787</v>
      </c>
      <c r="R163" s="3" t="s">
        <v>139</v>
      </c>
      <c r="S163" s="3" t="n">
        <v>2026</v>
      </c>
    </row>
    <row r="164" customFormat="false" ht="13.8" hidden="false" customHeight="true" outlineLevel="0" collapsed="false">
      <c r="C164" s="48" t="s">
        <v>762</v>
      </c>
      <c r="D164" s="3" t="s">
        <v>788</v>
      </c>
      <c r="E164" s="3" t="s">
        <v>789</v>
      </c>
      <c r="F164" s="3" t="n">
        <v>2</v>
      </c>
      <c r="G164" s="3" t="s">
        <v>790</v>
      </c>
      <c r="H164" s="3" t="s">
        <v>135</v>
      </c>
      <c r="K164" s="3" t="s">
        <v>136</v>
      </c>
      <c r="L164" s="3" t="n">
        <v>465.78</v>
      </c>
      <c r="N164" s="3" t="n">
        <v>22.22</v>
      </c>
      <c r="P164" s="3" t="s">
        <v>138</v>
      </c>
      <c r="Q164" s="3" t="s">
        <v>791</v>
      </c>
      <c r="R164" s="3" t="s">
        <v>139</v>
      </c>
      <c r="S164" s="3" t="n">
        <v>2026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5"/>
  <sheetViews>
    <sheetView showFormulas="false" showGridLines="true" showRowColHeaders="true" showZeros="true" rightToLeft="false" tabSelected="false" showOutlineSymbols="true" defaultGridColor="true" view="normal" topLeftCell="E1" colorId="64" zoomScale="110" zoomScaleNormal="110" zoomScalePageLayoutView="100" workbookViewId="0">
      <selection pane="topLeft" activeCell="AC15" activeCellId="0" sqref="AC15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3" min="1" style="3" width="9.06"/>
    <col collapsed="false" customWidth="true" hidden="false" outlineLevel="0" max="4" min="4" style="3" width="12.15"/>
    <col collapsed="false" customWidth="true" hidden="false" outlineLevel="0" max="5" min="5" style="3" width="11.84"/>
    <col collapsed="false" customWidth="true" hidden="false" outlineLevel="0" max="6" min="6" style="3" width="18.23"/>
    <col collapsed="false" customWidth="true" hidden="false" outlineLevel="0" max="13" min="7" style="3" width="9.06"/>
    <col collapsed="false" customWidth="true" hidden="false" outlineLevel="0" max="14" min="14" style="3" width="16.55"/>
    <col collapsed="false" customWidth="true" hidden="false" outlineLevel="0" max="15" min="15" style="3" width="12.21"/>
    <col collapsed="false" customWidth="true" hidden="false" outlineLevel="0" max="27" min="16" style="3" width="9.06"/>
  </cols>
  <sheetData>
    <row r="1" customFormat="false" ht="13.8" hidden="false" customHeight="false" outlineLevel="0" collapsed="false">
      <c r="A1" s="52" t="s">
        <v>792</v>
      </c>
      <c r="B1" s="52" t="s">
        <v>793</v>
      </c>
      <c r="C1" s="52" t="s">
        <v>794</v>
      </c>
      <c r="D1" s="52" t="s">
        <v>795</v>
      </c>
      <c r="E1" s="52" t="s">
        <v>796</v>
      </c>
      <c r="F1" s="52" t="s">
        <v>797</v>
      </c>
      <c r="G1" s="52" t="s">
        <v>798</v>
      </c>
      <c r="H1" s="52" t="s">
        <v>799</v>
      </c>
      <c r="I1" s="52" t="s">
        <v>800</v>
      </c>
      <c r="J1" s="52" t="s">
        <v>801</v>
      </c>
      <c r="K1" s="52" t="s">
        <v>802</v>
      </c>
      <c r="L1" s="52" t="s">
        <v>803</v>
      </c>
      <c r="M1" s="52" t="s">
        <v>804</v>
      </c>
      <c r="N1" s="52" t="s">
        <v>805</v>
      </c>
      <c r="O1" s="52" t="s">
        <v>806</v>
      </c>
      <c r="P1" s="52" t="s">
        <v>807</v>
      </c>
      <c r="Q1" s="52" t="s">
        <v>808</v>
      </c>
      <c r="R1" s="52" t="s">
        <v>809</v>
      </c>
      <c r="S1" s="52" t="s">
        <v>810</v>
      </c>
      <c r="T1" s="52" t="s">
        <v>811</v>
      </c>
      <c r="U1" s="52" t="s">
        <v>812</v>
      </c>
      <c r="V1" s="52" t="s">
        <v>813</v>
      </c>
      <c r="W1" s="52" t="s">
        <v>814</v>
      </c>
      <c r="X1" s="52" t="s">
        <v>815</v>
      </c>
      <c r="Y1" s="52" t="s">
        <v>816</v>
      </c>
      <c r="Z1" s="52" t="s">
        <v>817</v>
      </c>
      <c r="AA1" s="52" t="s">
        <v>818</v>
      </c>
    </row>
    <row r="2" customFormat="false" ht="13.8" hidden="false" customHeight="false" outlineLevel="0" collapsed="false">
      <c r="A2" s="3" t="n">
        <v>4295492340</v>
      </c>
      <c r="B2" s="3" t="s">
        <v>819</v>
      </c>
      <c r="C2" s="3" t="s">
        <v>820</v>
      </c>
      <c r="D2" s="3" t="s">
        <v>821</v>
      </c>
      <c r="E2" s="3" t="s">
        <v>822</v>
      </c>
      <c r="F2" s="3" t="s">
        <v>823</v>
      </c>
      <c r="G2" s="3" t="s">
        <v>824</v>
      </c>
      <c r="H2" s="3" t="n">
        <v>1</v>
      </c>
      <c r="I2" s="3" t="n">
        <v>2</v>
      </c>
      <c r="M2" s="3" t="n">
        <v>1270</v>
      </c>
      <c r="N2" s="3" t="n">
        <v>14</v>
      </c>
      <c r="O2" s="3" t="n">
        <v>177.8</v>
      </c>
      <c r="P2" s="3" t="s">
        <v>825</v>
      </c>
      <c r="T2" s="3" t="s">
        <v>826</v>
      </c>
      <c r="U2" s="3" t="s">
        <v>827</v>
      </c>
      <c r="V2" s="3" t="s">
        <v>828</v>
      </c>
      <c r="W2" s="3" t="s">
        <v>829</v>
      </c>
      <c r="X2" s="3" t="n">
        <v>4</v>
      </c>
    </row>
    <row r="3" customFormat="false" ht="13.8" hidden="false" customHeight="false" outlineLevel="0" collapsed="false">
      <c r="A3" s="3" t="n">
        <v>4319155308</v>
      </c>
      <c r="B3" s="3" t="s">
        <v>830</v>
      </c>
      <c r="C3" s="3" t="s">
        <v>831</v>
      </c>
      <c r="D3" s="3" t="s">
        <v>822</v>
      </c>
      <c r="E3" s="3" t="s">
        <v>832</v>
      </c>
      <c r="F3" s="3" t="s">
        <v>833</v>
      </c>
      <c r="G3" s="3" t="s">
        <v>824</v>
      </c>
      <c r="H3" s="3" t="n">
        <v>1</v>
      </c>
      <c r="I3" s="3" t="n">
        <v>2</v>
      </c>
      <c r="M3" s="3" t="n">
        <v>950</v>
      </c>
      <c r="N3" s="3" t="n">
        <v>14</v>
      </c>
      <c r="O3" s="3" t="n">
        <v>133</v>
      </c>
      <c r="P3" s="3" t="s">
        <v>825</v>
      </c>
      <c r="T3" s="3" t="s">
        <v>826</v>
      </c>
      <c r="U3" s="3" t="s">
        <v>834</v>
      </c>
      <c r="V3" s="3" t="s">
        <v>828</v>
      </c>
      <c r="W3" s="3" t="s">
        <v>829</v>
      </c>
      <c r="X3" s="3" t="n">
        <v>4</v>
      </c>
      <c r="Z3" s="3" t="s">
        <v>835</v>
      </c>
    </row>
    <row r="4" customFormat="false" ht="13.8" hidden="false" customHeight="false" outlineLevel="0" collapsed="false">
      <c r="A4" s="3" t="n">
        <v>4470959558</v>
      </c>
      <c r="B4" s="3" t="s">
        <v>836</v>
      </c>
      <c r="C4" s="3" t="s">
        <v>837</v>
      </c>
      <c r="D4" s="3" t="s">
        <v>832</v>
      </c>
      <c r="E4" s="3" t="s">
        <v>838</v>
      </c>
      <c r="F4" s="3" t="s">
        <v>839</v>
      </c>
      <c r="G4" s="3" t="s">
        <v>840</v>
      </c>
      <c r="H4" s="3" t="n">
        <v>1</v>
      </c>
      <c r="I4" s="3" t="n">
        <v>2</v>
      </c>
      <c r="M4" s="3" t="n">
        <v>600</v>
      </c>
      <c r="N4" s="3" t="n">
        <v>14</v>
      </c>
      <c r="T4" s="3" t="s">
        <v>826</v>
      </c>
      <c r="U4" s="3" t="s">
        <v>834</v>
      </c>
      <c r="V4" s="3" t="s">
        <v>828</v>
      </c>
      <c r="W4" s="3" t="s">
        <v>829</v>
      </c>
      <c r="X4" s="3" t="n">
        <v>3</v>
      </c>
      <c r="Y4" s="3" t="s">
        <v>841</v>
      </c>
      <c r="Z4" s="3" t="s">
        <v>842</v>
      </c>
    </row>
    <row r="5" customFormat="false" ht="13.8" hidden="false" customHeight="false" outlineLevel="0" collapsed="false">
      <c r="A5" s="3" t="n">
        <v>4680103360</v>
      </c>
      <c r="B5" s="3" t="s">
        <v>843</v>
      </c>
      <c r="C5" s="3" t="s">
        <v>844</v>
      </c>
      <c r="D5" s="3" t="s">
        <v>845</v>
      </c>
      <c r="E5" s="3" t="s">
        <v>846</v>
      </c>
      <c r="F5" s="3" t="s">
        <v>847</v>
      </c>
      <c r="G5" s="3" t="s">
        <v>840</v>
      </c>
      <c r="H5" s="3" t="n">
        <v>1</v>
      </c>
      <c r="I5" s="3" t="n">
        <v>2</v>
      </c>
      <c r="M5" s="3" t="n">
        <v>540</v>
      </c>
      <c r="N5" s="3" t="n">
        <v>14</v>
      </c>
      <c r="T5" s="3" t="s">
        <v>826</v>
      </c>
      <c r="U5" s="3" t="s">
        <v>827</v>
      </c>
      <c r="V5" s="3" t="s">
        <v>828</v>
      </c>
      <c r="W5" s="3" t="s">
        <v>829</v>
      </c>
      <c r="X5" s="3" t="n">
        <v>2</v>
      </c>
      <c r="Y5" s="3" t="s">
        <v>848</v>
      </c>
      <c r="Z5" s="3" t="s">
        <v>849</v>
      </c>
    </row>
    <row r="7" customFormat="false" ht="13.8" hidden="false" customHeight="false" outlineLevel="0" collapsed="false">
      <c r="A7" s="50" t="s">
        <v>850</v>
      </c>
      <c r="B7" s="50" t="s">
        <v>851</v>
      </c>
      <c r="C7" s="50" t="s">
        <v>797</v>
      </c>
      <c r="D7" s="50" t="s">
        <v>852</v>
      </c>
      <c r="E7" s="50" t="s">
        <v>853</v>
      </c>
      <c r="F7" s="50" t="s">
        <v>854</v>
      </c>
      <c r="G7" s="50" t="s">
        <v>855</v>
      </c>
      <c r="H7" s="50" t="s">
        <v>799</v>
      </c>
      <c r="I7" s="50" t="s">
        <v>856</v>
      </c>
      <c r="J7" s="50" t="s">
        <v>857</v>
      </c>
      <c r="K7" s="50" t="s">
        <v>805</v>
      </c>
      <c r="L7" s="50" t="s">
        <v>858</v>
      </c>
      <c r="M7" s="50" t="s">
        <v>859</v>
      </c>
      <c r="N7" s="50" t="s">
        <v>860</v>
      </c>
      <c r="O7" s="50" t="s">
        <v>798</v>
      </c>
      <c r="P7" s="50" t="s">
        <v>861</v>
      </c>
      <c r="Q7" s="50" t="s">
        <v>862</v>
      </c>
      <c r="R7" s="50" t="s">
        <v>863</v>
      </c>
      <c r="S7" s="50" t="s">
        <v>864</v>
      </c>
      <c r="T7" s="50" t="s">
        <v>865</v>
      </c>
      <c r="U7" s="50" t="s">
        <v>866</v>
      </c>
    </row>
    <row r="8" customFormat="false" ht="13.8" hidden="false" customHeight="false" outlineLevel="0" collapsed="false">
      <c r="A8" s="53" t="s">
        <v>867</v>
      </c>
      <c r="B8" s="53" t="s">
        <v>868</v>
      </c>
      <c r="C8" s="53" t="s">
        <v>869</v>
      </c>
      <c r="D8" s="53" t="s">
        <v>870</v>
      </c>
      <c r="E8" s="53" t="s">
        <v>871</v>
      </c>
      <c r="F8" s="53" t="s">
        <v>872</v>
      </c>
      <c r="G8" s="53" t="s">
        <v>872</v>
      </c>
      <c r="H8" s="53" t="s">
        <v>873</v>
      </c>
      <c r="I8" s="53" t="s">
        <v>874</v>
      </c>
      <c r="J8" s="53" t="s">
        <v>875</v>
      </c>
      <c r="K8" s="53" t="s">
        <v>876</v>
      </c>
      <c r="L8" s="53" t="n">
        <v>850</v>
      </c>
      <c r="M8" s="53" t="n">
        <v>850</v>
      </c>
      <c r="N8" s="53" t="n">
        <v>110.5</v>
      </c>
      <c r="O8" s="53" t="s">
        <v>877</v>
      </c>
      <c r="P8" s="53"/>
      <c r="Q8" s="53" t="s">
        <v>136</v>
      </c>
      <c r="R8" s="53" t="s">
        <v>878</v>
      </c>
      <c r="S8" s="53" t="s">
        <v>879</v>
      </c>
      <c r="T8" s="53" t="s">
        <v>880</v>
      </c>
      <c r="U8" s="53" t="s">
        <v>881</v>
      </c>
    </row>
    <row r="10" customFormat="false" ht="13.8" hidden="false" customHeight="false" outlineLevel="0" collapsed="false">
      <c r="A10" s="52" t="s">
        <v>792</v>
      </c>
      <c r="B10" s="52" t="s">
        <v>793</v>
      </c>
      <c r="C10" s="52" t="s">
        <v>794</v>
      </c>
      <c r="D10" s="52" t="s">
        <v>795</v>
      </c>
      <c r="E10" s="52" t="s">
        <v>796</v>
      </c>
      <c r="F10" s="52" t="s">
        <v>797</v>
      </c>
      <c r="G10" s="52" t="s">
        <v>798</v>
      </c>
      <c r="H10" s="52" t="s">
        <v>799</v>
      </c>
      <c r="I10" s="52" t="s">
        <v>800</v>
      </c>
      <c r="J10" s="52" t="s">
        <v>801</v>
      </c>
      <c r="K10" s="52" t="s">
        <v>802</v>
      </c>
      <c r="L10" s="52" t="s">
        <v>803</v>
      </c>
      <c r="M10" s="52" t="s">
        <v>804</v>
      </c>
      <c r="N10" s="52" t="s">
        <v>805</v>
      </c>
      <c r="O10" s="52" t="s">
        <v>806</v>
      </c>
      <c r="P10" s="52" t="s">
        <v>807</v>
      </c>
      <c r="Q10" s="52" t="s">
        <v>808</v>
      </c>
      <c r="R10" s="52" t="s">
        <v>809</v>
      </c>
      <c r="S10" s="52" t="s">
        <v>810</v>
      </c>
      <c r="T10" s="52" t="s">
        <v>811</v>
      </c>
      <c r="U10" s="52" t="s">
        <v>812</v>
      </c>
      <c r="V10" s="52" t="s">
        <v>813</v>
      </c>
      <c r="W10" s="52" t="s">
        <v>814</v>
      </c>
      <c r="X10" s="52" t="s">
        <v>815</v>
      </c>
      <c r="Y10" s="52" t="s">
        <v>816</v>
      </c>
      <c r="Z10" s="52" t="s">
        <v>817</v>
      </c>
      <c r="AA10" s="52" t="s">
        <v>818</v>
      </c>
    </row>
    <row r="11" customFormat="false" ht="13.8" hidden="false" customHeight="false" outlineLevel="0" collapsed="false">
      <c r="A11" s="3" t="n">
        <v>4827819677</v>
      </c>
      <c r="B11" s="3" t="s">
        <v>882</v>
      </c>
      <c r="C11" s="3" t="s">
        <v>883</v>
      </c>
      <c r="D11" s="3" t="s">
        <v>884</v>
      </c>
      <c r="E11" s="3" t="s">
        <v>885</v>
      </c>
      <c r="F11" s="3" t="s">
        <v>886</v>
      </c>
      <c r="G11" s="3" t="s">
        <v>824</v>
      </c>
      <c r="H11" s="3" t="n">
        <v>1</v>
      </c>
      <c r="I11" s="3" t="n">
        <v>2</v>
      </c>
      <c r="M11" s="3" t="s">
        <v>887</v>
      </c>
      <c r="N11" s="3" t="n">
        <v>13</v>
      </c>
      <c r="O11" s="3" t="s">
        <v>888</v>
      </c>
      <c r="P11" s="3" t="s">
        <v>825</v>
      </c>
      <c r="T11" s="3" t="s">
        <v>826</v>
      </c>
      <c r="U11" s="3" t="s">
        <v>827</v>
      </c>
      <c r="V11" s="3" t="s">
        <v>828</v>
      </c>
      <c r="W11" s="3" t="s">
        <v>829</v>
      </c>
      <c r="X11" s="3" t="n">
        <v>1</v>
      </c>
      <c r="Z11" s="3" t="s">
        <v>889</v>
      </c>
    </row>
    <row r="12" customFormat="false" ht="13.8" hidden="false" customHeight="false" outlineLevel="0" collapsed="false">
      <c r="A12" s="3" t="n">
        <v>4427617314</v>
      </c>
      <c r="B12" s="3" t="s">
        <v>890</v>
      </c>
      <c r="C12" s="3" t="s">
        <v>891</v>
      </c>
      <c r="D12" s="3" t="s">
        <v>892</v>
      </c>
      <c r="E12" s="3" t="s">
        <v>893</v>
      </c>
      <c r="F12" s="3" t="s">
        <v>894</v>
      </c>
      <c r="G12" s="3" t="s">
        <v>824</v>
      </c>
      <c r="H12" s="3" t="n">
        <v>1</v>
      </c>
      <c r="I12" s="3" t="n">
        <v>2</v>
      </c>
      <c r="M12" s="3" t="s">
        <v>895</v>
      </c>
      <c r="N12" s="3" t="n">
        <v>13</v>
      </c>
      <c r="O12" s="3" t="s">
        <v>896</v>
      </c>
      <c r="P12" s="3" t="s">
        <v>825</v>
      </c>
      <c r="T12" s="3" t="s">
        <v>826</v>
      </c>
      <c r="U12" s="3" t="s">
        <v>827</v>
      </c>
      <c r="V12" s="3" t="s">
        <v>828</v>
      </c>
      <c r="W12" s="3" t="s">
        <v>829</v>
      </c>
      <c r="X12" s="3" t="n">
        <v>2</v>
      </c>
      <c r="Z12" s="3" t="s">
        <v>897</v>
      </c>
    </row>
    <row r="14" customFormat="false" ht="13.8" hidden="false" customHeight="false" outlineLevel="0" collapsed="false">
      <c r="A14" s="52" t="s">
        <v>792</v>
      </c>
      <c r="B14" s="52" t="s">
        <v>793</v>
      </c>
      <c r="C14" s="52" t="s">
        <v>794</v>
      </c>
      <c r="D14" s="52" t="s">
        <v>795</v>
      </c>
      <c r="E14" s="52" t="s">
        <v>796</v>
      </c>
      <c r="F14" s="52" t="s">
        <v>797</v>
      </c>
      <c r="G14" s="52" t="s">
        <v>798</v>
      </c>
      <c r="H14" s="52" t="s">
        <v>799</v>
      </c>
      <c r="I14" s="52" t="s">
        <v>800</v>
      </c>
      <c r="J14" s="52" t="s">
        <v>801</v>
      </c>
      <c r="K14" s="52" t="s">
        <v>802</v>
      </c>
      <c r="L14" s="52" t="s">
        <v>803</v>
      </c>
      <c r="M14" s="52" t="s">
        <v>804</v>
      </c>
      <c r="N14" s="52" t="s">
        <v>805</v>
      </c>
      <c r="O14" s="52" t="s">
        <v>806</v>
      </c>
      <c r="P14" s="52" t="s">
        <v>807</v>
      </c>
      <c r="Q14" s="52" t="s">
        <v>808</v>
      </c>
      <c r="R14" s="52" t="s">
        <v>809</v>
      </c>
      <c r="S14" s="52" t="s">
        <v>810</v>
      </c>
      <c r="T14" s="52" t="s">
        <v>811</v>
      </c>
      <c r="U14" s="52" t="s">
        <v>812</v>
      </c>
      <c r="V14" s="52" t="s">
        <v>813</v>
      </c>
      <c r="W14" s="52" t="s">
        <v>814</v>
      </c>
      <c r="X14" s="52" t="s">
        <v>815</v>
      </c>
      <c r="Y14" s="52" t="s">
        <v>816</v>
      </c>
      <c r="Z14" s="52" t="s">
        <v>817</v>
      </c>
      <c r="AA14" s="52" t="s">
        <v>818</v>
      </c>
    </row>
    <row r="15" customFormat="false" ht="13.8" hidden="false" customHeight="false" outlineLevel="0" collapsed="false">
      <c r="A15" s="3" t="n">
        <v>5827715021</v>
      </c>
      <c r="B15" s="3" t="s">
        <v>898</v>
      </c>
      <c r="C15" s="3" t="s">
        <v>899</v>
      </c>
      <c r="D15" s="3" t="s">
        <v>900</v>
      </c>
      <c r="E15" s="3" t="s">
        <v>901</v>
      </c>
      <c r="F15" s="3" t="s">
        <v>902</v>
      </c>
      <c r="G15" s="3" t="s">
        <v>824</v>
      </c>
      <c r="H15" s="3" t="n">
        <v>1</v>
      </c>
      <c r="I15" s="3" t="n">
        <v>2</v>
      </c>
      <c r="M15" s="3" t="s">
        <v>903</v>
      </c>
      <c r="N15" s="3" t="n">
        <v>13</v>
      </c>
      <c r="O15" s="3" t="s">
        <v>904</v>
      </c>
      <c r="P15" s="3" t="s">
        <v>825</v>
      </c>
      <c r="T15" s="3" t="s">
        <v>826</v>
      </c>
      <c r="U15" s="3" t="s">
        <v>827</v>
      </c>
      <c r="V15" s="3" t="s">
        <v>905</v>
      </c>
      <c r="W15" s="3" t="s">
        <v>829</v>
      </c>
      <c r="X15" s="3" t="n">
        <v>2</v>
      </c>
      <c r="Z15" s="3" t="s">
        <v>906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2024-08-11T20:35:35Z</dcterms:created>
  <dc:creator>Paulo Fernandes</dc:creator>
  <dc:description/>
  <dc:language>pt-BR</dc:language>
  <cp:lastModifiedBy/>
  <dcterms:modified xsi:type="dcterms:W3CDTF">2026-09-10T10:16:58Z</dcterms:modified>
  <cp:revision>131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73a14a-a193-4045-ac5d-aaf6a6ce3cef_ActionId">
    <vt:lpwstr>0e1efa27-8434-4a3e-8769-abb0d3d993a8</vt:lpwstr>
  </property>
  <property fmtid="{D5CDD505-2E9C-101B-9397-08002B2CF9AE}" pid="3" name="MSIP_Label_4b73a14a-a193-4045-ac5d-aaf6a6ce3cef_ContentBits">
    <vt:lpwstr>0</vt:lpwstr>
  </property>
  <property fmtid="{D5CDD505-2E9C-101B-9397-08002B2CF9AE}" pid="4" name="MSIP_Label_4b73a14a-a193-4045-ac5d-aaf6a6ce3cef_Enabled">
    <vt:lpwstr>true</vt:lpwstr>
  </property>
  <property fmtid="{D5CDD505-2E9C-101B-9397-08002B2CF9AE}" pid="5" name="MSIP_Label_4b73a14a-a193-4045-ac5d-aaf6a6ce3cef_Method">
    <vt:lpwstr>Privileged</vt:lpwstr>
  </property>
  <property fmtid="{D5CDD505-2E9C-101B-9397-08002B2CF9AE}" pid="6" name="MSIP_Label_4b73a14a-a193-4045-ac5d-aaf6a6ce3cef_Name">
    <vt:lpwstr>Public</vt:lpwstr>
  </property>
  <property fmtid="{D5CDD505-2E9C-101B-9397-08002B2CF9AE}" pid="7" name="MSIP_Label_4b73a14a-a193-4045-ac5d-aaf6a6ce3cef_SetDate">
    <vt:lpwstr>2024-09-02T17:43:31Z</vt:lpwstr>
  </property>
  <property fmtid="{D5CDD505-2E9C-101B-9397-08002B2CF9AE}" pid="8" name="MSIP_Label_4b73a14a-a193-4045-ac5d-aaf6a6ce3cef_SiteId">
    <vt:lpwstr>1b5ba8a2-315d-45ce-959a-42b748c01de7</vt:lpwstr>
  </property>
  <property fmtid="{D5CDD505-2E9C-101B-9397-08002B2CF9AE}" pid="9" name="MSIP_Label_e6a9157b-bcf3-4eac-b03e-7cf007ba9fdf_ActionId">
    <vt:lpwstr>fa073308-d5b3-4c4c-8a8d-48361640d28b</vt:lpwstr>
  </property>
  <property fmtid="{D5CDD505-2E9C-101B-9397-08002B2CF9AE}" pid="10" name="MSIP_Label_e6a9157b-bcf3-4eac-b03e-7cf007ba9fdf_ContentBits">
    <vt:lpwstr>2</vt:lpwstr>
  </property>
  <property fmtid="{D5CDD505-2E9C-101B-9397-08002B2CF9AE}" pid="11" name="MSIP_Label_e6a9157b-bcf3-4eac-b03e-7cf007ba9fdf_Enabled">
    <vt:lpwstr>true</vt:lpwstr>
  </property>
  <property fmtid="{D5CDD505-2E9C-101B-9397-08002B2CF9AE}" pid="12" name="MSIP_Label_e6a9157b-bcf3-4eac-b03e-7cf007ba9fdf_Method">
    <vt:lpwstr>Standard</vt:lpwstr>
  </property>
  <property fmtid="{D5CDD505-2E9C-101B-9397-08002B2CF9AE}" pid="13" name="MSIP_Label_e6a9157b-bcf3-4eac-b03e-7cf007ba9fdf_Name">
    <vt:lpwstr>Publica</vt:lpwstr>
  </property>
  <property fmtid="{D5CDD505-2E9C-101B-9397-08002B2CF9AE}" pid="14" name="MSIP_Label_e6a9157b-bcf3-4eac-b03e-7cf007ba9fdf_SetDate">
    <vt:lpwstr>2024-08-11T20:59:38Z</vt:lpwstr>
  </property>
  <property fmtid="{D5CDD505-2E9C-101B-9397-08002B2CF9AE}" pid="15" name="MSIP_Label_e6a9157b-bcf3-4eac-b03e-7cf007ba9fdf_SiteId">
    <vt:lpwstr>cf56e405-d2b0-4266-b210-aa04636b6161</vt:lpwstr>
  </property>
</Properties>
</file>